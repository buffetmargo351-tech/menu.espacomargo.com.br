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_lista" sheetId="1" r:id="rId5"/>
    <sheet state="visible" name="itens_proposta" sheetId="2" r:id="rId6"/>
    <sheet state="visible" name="itens_modulares" sheetId="3" r:id="rId7"/>
    <sheet state="visible" name="regras_periodo" sheetId="4" r:id="rId8"/>
    <sheet state="visible" name="base_inclusa" sheetId="5" r:id="rId9"/>
    <sheet state="visible" name="como_usar" sheetId="6" r:id="rId10"/>
    <sheet state="visible" name="regras_equipe" sheetId="7" r:id="rId11"/>
    <sheet state="visible" name="regras_reajuste_data" sheetId="8" r:id="rId12"/>
    <sheet state="visible" name="feriados" sheetId="9" r:id="rId13"/>
    <sheet state="visible" name="mapa_codigos" sheetId="10" r:id="rId14"/>
    <sheet state="visible" name="normalizacao_v1" sheetId="11" r:id="rId15"/>
  </sheets>
  <definedNames/>
  <calcPr/>
</workbook>
</file>

<file path=xl/sharedStrings.xml><?xml version="1.0" encoding="utf-8"?>
<sst xmlns="http://schemas.openxmlformats.org/spreadsheetml/2006/main" count="4706" uniqueCount="889">
  <si>
    <t>SIMULADOR COM LISTA DE SELEÇÃO</t>
  </si>
  <si>
    <t>display</t>
  </si>
  <si>
    <t>codigo</t>
  </si>
  <si>
    <t>fase</t>
  </si>
  <si>
    <t>grupo</t>
  </si>
  <si>
    <t>cobranca</t>
  </si>
  <si>
    <t>preco</t>
  </si>
  <si>
    <t>unidade</t>
  </si>
  <si>
    <t>item</t>
  </si>
  <si>
    <t>natureza</t>
  </si>
  <si>
    <t>eh_prato_principal</t>
  </si>
  <si>
    <t>MD-002 | Coqueteis de Frutas, suave para ir criando o clima de festa | R$ 4,40</t>
  </si>
  <si>
    <t>MD-002</t>
  </si>
  <si>
    <t>Antes do Sim</t>
  </si>
  <si>
    <t>personalizacao</t>
  </si>
  <si>
    <t>por pessoa</t>
  </si>
  <si>
    <t>pessoa</t>
  </si>
  <si>
    <t>Coqueteis de Frutas, suave para ir criando o clima de festa</t>
  </si>
  <si>
    <t>Adicional real</t>
  </si>
  <si>
    <t>Campo</t>
  </si>
  <si>
    <t>Valor</t>
  </si>
  <si>
    <t>Observação</t>
  </si>
  <si>
    <t>Regras automáticas</t>
  </si>
  <si>
    <t>MD-004 | Bruschetta tradicional, Caponata italiana, Dadinho de tapioca, Croquete de carne, Espetinho caprese, Escondidinho de Carne/Calabresa | R$ 14,00</t>
  </si>
  <si>
    <t>MD-004</t>
  </si>
  <si>
    <t>Depois do Sim</t>
  </si>
  <si>
    <t>entradas</t>
  </si>
  <si>
    <t>Bruschetta tradicional, Caponata italiana, Dadinho de tapioca, Croquete de carne, Espetinho caprese, Escondidinho de Carne/Calabresa</t>
  </si>
  <si>
    <t>Convidados</t>
  </si>
  <si>
    <t>Digite a quantidade de convidados.</t>
  </si>
  <si>
    <t>Data do casamento</t>
  </si>
  <si>
    <t>Digite a data real do casamento.</t>
  </si>
  <si>
    <t>MD-005 | Bolinho de bacalhau, Bruschetta de cogumelos, Canapés finos, Queijo Brie, Tábua de frios, Cuscus marroquino, Barquinha de salpicão, Escondidinho de Carne/Calabresa | R$ 25,00</t>
  </si>
  <si>
    <t>MD-005</t>
  </si>
  <si>
    <t>Bolinho de bacalhau, Bruschetta de cogumelos, Canapés finos, Queijo Brie, Tábua de frios, Cuscus marroquino, Barquinha de salpicão, Escondidinho de Carne/Calabresa</t>
  </si>
  <si>
    <t>Regra de período</t>
  </si>
  <si>
    <t>REG-006</t>
  </si>
  <si>
    <t>Escolha apenas o período/horário. A data do casamento ajusta automaticamente o dia comercial via aba feriados.</t>
  </si>
  <si>
    <t>Multiplicador por data</t>
  </si>
  <si>
    <t>Busca na aba regras_reajuste_data.</t>
  </si>
  <si>
    <t>MD-007 | Alcatra ao molho de manga | R$ 55,00</t>
  </si>
  <si>
    <t>MD-007</t>
  </si>
  <si>
    <t>Sabores Principais</t>
  </si>
  <si>
    <t>prato_principal</t>
  </si>
  <si>
    <t>Alcatra ao molho de manga</t>
  </si>
  <si>
    <t>Exclusividade do dia?</t>
  </si>
  <si>
    <t>NÃO</t>
  </si>
  <si>
    <t>SIM adiciona o valor de exclusividade da regra escolhida.</t>
  </si>
  <si>
    <t>Acréscimo fixo por data</t>
  </si>
  <si>
    <t>MD-008 | Filé mignon ao forno, ao molho madeira, vinho ou mostarda | R$ 80,00</t>
  </si>
  <si>
    <t>MD-008</t>
  </si>
  <si>
    <t>Filé mignon ao forno, ao molho madeira, vinho ou mostarda</t>
  </si>
  <si>
    <t>Desconto autorizado %</t>
  </si>
  <si>
    <t>Campo admin. Use 0 se não houver desconto.</t>
  </si>
  <si>
    <t>Equipe extra</t>
  </si>
  <si>
    <t>Busca na aba regras_equipe conforme convidados.</t>
  </si>
  <si>
    <t>MD-009 | Lagarto ao molho madeira ou ervas | R$ 50,00</t>
  </si>
  <si>
    <t>MD-009</t>
  </si>
  <si>
    <t>Lagarto ao molho madeira ou ervas</t>
  </si>
  <si>
    <t>Desconto autorizado R$</t>
  </si>
  <si>
    <t>Valor mínimo ajustado</t>
  </si>
  <si>
    <t>Valor mínimo do período x multiplicador da data.</t>
  </si>
  <si>
    <t>MD-010 | Maminha ao molho barbecue ou madeira | R$ 55,00</t>
  </si>
  <si>
    <t>MD-010</t>
  </si>
  <si>
    <t>Maminha ao molho barbecue ou madeira</t>
  </si>
  <si>
    <t>Incremento autorizado R$</t>
  </si>
  <si>
    <t>Campo admin. Use para ajuste especial autorizado.</t>
  </si>
  <si>
    <t>Subtotal antes do reajuste</t>
  </si>
  <si>
    <t>Base calculada + itens + equipe extra + incremento admin.</t>
  </si>
  <si>
    <t>MD-011 | Lombo suíno ao molho agridoce ou abacaxi | R$ 35,00</t>
  </si>
  <si>
    <t>MD-011</t>
  </si>
  <si>
    <t>Lombo suíno ao molho agridoce ou abacaxi</t>
  </si>
  <si>
    <t>Ajuste base por pessoa</t>
  </si>
  <si>
    <t>Use se precisar complementar a base inclusa por pessoa.</t>
  </si>
  <si>
    <t>Subtotal reajustado</t>
  </si>
  <si>
    <t>Subtotal antes do reajuste x multiplicador + acréscimo fixo.</t>
  </si>
  <si>
    <t>MD-012 | Pernil ao molho barbecue | R$ 35,00</t>
  </si>
  <si>
    <t>MD-012</t>
  </si>
  <si>
    <t>Pernil ao molho barbecue</t>
  </si>
  <si>
    <t>Base fixa do período</t>
  </si>
  <si>
    <t>Busca na aba regras_periodo.</t>
  </si>
  <si>
    <t>Total após desconto</t>
  </si>
  <si>
    <t>Subtotal reajustado - descontos.</t>
  </si>
  <si>
    <t>MD-013 | Filé de frango ao molho branco, ervas, queijo, mostarda ou madeira, molho de laranja ou limão siciliano | R$ 33,00</t>
  </si>
  <si>
    <t>MD-013</t>
  </si>
  <si>
    <t>Filé de frango ao molho branco, ervas, queijo, mostarda ou madeira, molho de laranja ou limão siciliano</t>
  </si>
  <si>
    <t>Multiplicador do período</t>
  </si>
  <si>
    <t>Regra equipe aplicada</t>
  </si>
  <si>
    <t>Faixa automática pela quantidade de convidados.</t>
  </si>
  <si>
    <t>MD-014 | Filé de coxa e sobrecoxa assada | R$ 30,00</t>
  </si>
  <si>
    <t>MD-014</t>
  </si>
  <si>
    <t>Filé de coxa e sobrecoxa assada</t>
  </si>
  <si>
    <t>Acréscimo fixo do período</t>
  </si>
  <si>
    <t>Regra data aplicada</t>
  </si>
  <si>
    <t>Semestre automático pela data informada.</t>
  </si>
  <si>
    <t>MD-015 | Strogonoff de Frango, Batata Palha | R$ 30,00</t>
  </si>
  <si>
    <t>MD-015</t>
  </si>
  <si>
    <t>Strogonoff de Frango, Batata Palha</t>
  </si>
  <si>
    <t>Valor mínimo do evento</t>
  </si>
  <si>
    <t>Dia da semana</t>
  </si>
  <si>
    <t>Mostra o dia real da data informada. Feriado/véspera continuam tratados na regra comercial.</t>
  </si>
  <si>
    <t>MD-016 | Salmão ao molho de maracujá ou alcaparras | R$ 80,00</t>
  </si>
  <si>
    <t>MD-016</t>
  </si>
  <si>
    <t>Salmão ao molho de maracujá ou alcaparras</t>
  </si>
  <si>
    <t>Base inclusa por pessoa</t>
  </si>
  <si>
    <t>Soma dos itens Incluso na base da aba base_inclusa.</t>
  </si>
  <si>
    <t>Período comercial</t>
  </si>
  <si>
    <t>Mantém o período da regra selecionada em B5.</t>
  </si>
  <si>
    <t>MD-017 | Tilápia ao molho de alcaparras ou pimentão e cebola | R$ 40,00</t>
  </si>
  <si>
    <t>MD-017</t>
  </si>
  <si>
    <t>Tilápia ao molho de alcaparras ou pimentão e cebola</t>
  </si>
  <si>
    <t>Base calculada</t>
  </si>
  <si>
    <t>Base fixa ajustada + base por pessoa x convidados + exclusividade. Não inclui equipe extra nem reajuste por data.</t>
  </si>
  <si>
    <t>Regra comercial aplicada</t>
  </si>
  <si>
    <t>Regra final usada nos cálculos após considerar feriado/véspera.</t>
  </si>
  <si>
    <t>MD-018 | Ceviche de tilápia | R$ 40,00</t>
  </si>
  <si>
    <t>MD-018</t>
  </si>
  <si>
    <t>Ceviche de tilápia</t>
  </si>
  <si>
    <t>Total itens selecionados</t>
  </si>
  <si>
    <t>Soma da tabela de seleção abaixo.</t>
  </si>
  <si>
    <t>MD-019 | Bobó de camarão | R$ 60,00</t>
  </si>
  <si>
    <t>MD-019</t>
  </si>
  <si>
    <t>Bobó de camarão</t>
  </si>
  <si>
    <t>Prato principal selecionado?</t>
  </si>
  <si>
    <t>O total final só aparece se houver ao menos 1 prato principal.</t>
  </si>
  <si>
    <t>MD-020 | Saint Peter gratinado | R$ 50,00</t>
  </si>
  <si>
    <t>MD-020</t>
  </si>
  <si>
    <t>Saint Peter gratinado</t>
  </si>
  <si>
    <t>Base calculada + itens selecionados + equipe extra + incremento admin, antes do reajuste por data.</t>
  </si>
  <si>
    <t>MD-021 | Batata frita, gratinada, rústica ou sauté | R$ 6,00</t>
  </si>
  <si>
    <t>MD-021</t>
  </si>
  <si>
    <t>Batata frita, gratinada, rústica ou sauté</t>
  </si>
  <si>
    <t>Desconto calculado</t>
  </si>
  <si>
    <t>Desconto aplicado sobre o subtotal já reajustado pela data.</t>
  </si>
  <si>
    <t>MD-022 | Farofa com bacon e farinha de milho | R$ 3,00</t>
  </si>
  <si>
    <t>MD-022</t>
  </si>
  <si>
    <t>Farofa com bacon e farinha de milho</t>
  </si>
  <si>
    <t>Total antes do mínimo</t>
  </si>
  <si>
    <t>Subtotal reajustado menos descontos autorizados.</t>
  </si>
  <si>
    <t>MD-024 | Saladas: Maionese de legumes, Legumes salteados na manteiga. | R$ 5,00</t>
  </si>
  <si>
    <t>MD-024</t>
  </si>
  <si>
    <t>Saladas: Maionese de legumes, Legumes salteados na manteiga.</t>
  </si>
  <si>
    <t>TOTAL FINAL</t>
  </si>
  <si>
    <t>Maior entre total após desconto e valor mínimo ajustado pela data.</t>
  </si>
  <si>
    <t>MD-025 | Salada Caesar, Caponata de Berinjela, Salpicão, Salada Califórnia, Maionese de legumes, Legumes salteados na manteiga. | R$ 10,00</t>
  </si>
  <si>
    <t>MD-025</t>
  </si>
  <si>
    <t>Salada Caesar, Caponata de Berinjela, Salpicão, Salada Califórnia, Maionese de legumes, Legumes salteados na manteiga.</t>
  </si>
  <si>
    <t>Aviso</t>
  </si>
  <si>
    <t>MD-026 | Bisteca, Arroz carreteiro, Feijão tropeiro, Couve refogada, Torresmo | R$ 40,00</t>
  </si>
  <si>
    <t>MD-026</t>
  </si>
  <si>
    <t>Culinária Típica</t>
  </si>
  <si>
    <t>Bisteca, Arroz carreteiro, Feijão tropeiro, Couve refogada, Torresmo</t>
  </si>
  <si>
    <t>MD-027 | Bisteca, Arroz carreteiro, Feijão tropeiro, Couve refogada, Torresmo, Polenta, Farofa de banana | R$ 45,00</t>
  </si>
  <si>
    <t>MD-027</t>
  </si>
  <si>
    <t>Bisteca, Arroz carreteiro, Feijão tropeiro, Couve refogada, Torresmo, Polenta, Farofa de banana</t>
  </si>
  <si>
    <t>Nº</t>
  </si>
  <si>
    <t>Selecione o item</t>
  </si>
  <si>
    <t>Código</t>
  </si>
  <si>
    <t>Fase</t>
  </si>
  <si>
    <t>Grupo</t>
  </si>
  <si>
    <t>Cobrança</t>
  </si>
  <si>
    <t>Preço unitário</t>
  </si>
  <si>
    <t>Qtd manual</t>
  </si>
  <si>
    <t>Qtd usada</t>
  </si>
  <si>
    <t>Total</t>
  </si>
  <si>
    <t>Prato principal?</t>
  </si>
  <si>
    <t>MD-028 | Galinhada, Bisteca, Tutu de feijão, Arroz carreteiro, Feijão tropeiro, Couve refogada, Torresmo, Polenta cremosa, Farofa de banana | R$ 60,00</t>
  </si>
  <si>
    <t>MD-028</t>
  </si>
  <si>
    <t>Galinhada, Bisteca, Tutu de feijão, Arroz carreteiro, Feijão tropeiro, Couve refogada, Torresmo, Polenta cremosa, Farofa de banana</t>
  </si>
  <si>
    <t>MD-029 | Espeto de tofu marinado, espeto de legumes grelhados, churrasco vegetal, strogonoff de grão-de-bico, batata assada vegana e moqueca de banana-da-terra. | R$ 110,00</t>
  </si>
  <si>
    <t>MD-029</t>
  </si>
  <si>
    <t>Espeto de tofu marinado, espeto de legumes grelhados, churrasco vegetal, strogonoff de grão-de-bico, batata assada vegana e moqueca de banana-da-terra.</t>
  </si>
  <si>
    <t>MD-030 | Estação de crepes | R$ 0,00</t>
  </si>
  <si>
    <t>MD-030</t>
  </si>
  <si>
    <t>massas_estacoes</t>
  </si>
  <si>
    <t>Estação de crepes</t>
  </si>
  <si>
    <t>MD-031 | Ilha árabe | R$ 0,00</t>
  </si>
  <si>
    <t>MD-031</t>
  </si>
  <si>
    <t>Ilha árabe</t>
  </si>
  <si>
    <t>MD-032 | Ilha japonesa | R$ 0,00</t>
  </si>
  <si>
    <t>MD-032</t>
  </si>
  <si>
    <t>Ilha japonesa</t>
  </si>
  <si>
    <t>MD-033 | Ilha mexicana | R$ 0,00</t>
  </si>
  <si>
    <t>MD-033</t>
  </si>
  <si>
    <t>Ilha mexicana</t>
  </si>
  <si>
    <t>MD-034 | Contra filé, linguiça e frango | R$ 65,00</t>
  </si>
  <si>
    <t>MD-034</t>
  </si>
  <si>
    <t>Brasa Margô</t>
  </si>
  <si>
    <t>Contra filé, linguiça e frango</t>
  </si>
  <si>
    <t>MD-035 | Contra filé, linguiça, filé de coxa e sobrecoxa, maminha na manteiga e cupim | R$ 80,00</t>
  </si>
  <si>
    <t>MD-035</t>
  </si>
  <si>
    <t>Contra filé, linguiça, filé de coxa e sobrecoxa, maminha na manteiga e cupim</t>
  </si>
  <si>
    <t>MD-036 | Costela bovina, Contra filé, linguiça, filé de coxa e sobrecoxa, maminha na manteiga, cupim, picanha e panceta | R$ 160,00</t>
  </si>
  <si>
    <t>MD-036</t>
  </si>
  <si>
    <t>Costela bovina, Contra filé, linguiça, filé de coxa e sobrecoxa, maminha na manteiga, cupim, picanha e panceta</t>
  </si>
  <si>
    <t>MD-037 | Kafta, Pão de alho, Coração | R$ 12,00</t>
  </si>
  <si>
    <t>MD-037</t>
  </si>
  <si>
    <t>brasa_complemento</t>
  </si>
  <si>
    <t>Kafta, Pão de alho, Coração</t>
  </si>
  <si>
    <t>MD-038 | Tulipa, Kafta, Pão de queijo, Pão de alho, Coração | R$ 15,00</t>
  </si>
  <si>
    <t>MD-038</t>
  </si>
  <si>
    <t>Tulipa, Kafta, Pão de queijo, Pão de alho, Coração</t>
  </si>
  <si>
    <t>MD-039 | Tulipa, Queijo coalho, Kafta, Pão de queijo, Pão de alho, Coração | R$ 17,00</t>
  </si>
  <si>
    <t>MD-039</t>
  </si>
  <si>
    <t>Tulipa, Queijo coalho, Kafta, Pão de queijo, Pão de alho, Coração</t>
  </si>
  <si>
    <t>MD-040 | Costelinha suína barbecue | R$ 17,00</t>
  </si>
  <si>
    <t>MD-040</t>
  </si>
  <si>
    <t>Costelinha suína barbecue</t>
  </si>
  <si>
    <t>MD-041 | Nhoque ao sugo, Massa ao molho de tomate fresco, Fettuccine ao molho branco ou ervas, Lasanha de frango | R$ 70,00</t>
  </si>
  <si>
    <t>MD-041</t>
  </si>
  <si>
    <t>Massas &amp; Estações</t>
  </si>
  <si>
    <t>Nhoque ao sugo, Massa ao molho de tomate fresco, Fettuccine ao molho branco ou ervas, Lasanha de frango</t>
  </si>
  <si>
    <t>MD-042 | Nhoque ao molho branco, Massa ao molho quatro queijos, Lasanha quatro queijos, Rondelli de queijo | R$ 80,00</t>
  </si>
  <si>
    <t>MD-042</t>
  </si>
  <si>
    <t>Nhoque ao molho branco, Massa ao molho quatro queijos, Lasanha quatro queijos, Rondelli de queijo</t>
  </si>
  <si>
    <t>MD-043 | Massa ao molho funghi, Massa ao molho pesto, Penne à frascatana, Lasanha à bolonhesa, Canelone | R$ 80,00</t>
  </si>
  <si>
    <t>MD-043</t>
  </si>
  <si>
    <t>Massa ao molho funghi, Massa ao molho pesto, Penne à frascatana, Lasanha à bolonhesa, Canelone</t>
  </si>
  <si>
    <t>MD-045 | Ravióli | R$ 30,00</t>
  </si>
  <si>
    <t>MD-045</t>
  </si>
  <si>
    <t>Ravióli</t>
  </si>
  <si>
    <t>MD-046 | Rondelli cremoso | R$ 45,00</t>
  </si>
  <si>
    <t>MD-046</t>
  </si>
  <si>
    <t>Rondelli cremoso</t>
  </si>
  <si>
    <t>MD-047 | Caipirinha tradicional, Caipiroska, Drinks sem álcool, Frutas cítricas | R$ 35,00</t>
  </si>
  <si>
    <t>MD-047</t>
  </si>
  <si>
    <t>Bar Margô</t>
  </si>
  <si>
    <t>bar_margo</t>
  </si>
  <si>
    <t>Caipirinha tradicional, Caipiroska, Drinks sem álcool, Frutas cítricas</t>
  </si>
  <si>
    <t>MD-048 | Caipirinhas, Caipiroska, Gin tônica, Mojito, Margarita, Clericot, Drinks sem álcool, Drink personalizado dos noivos, Vodka nacional ou importada intermediária, Gin nacional ou importado intermediário, Rum, Aperol, Espumante para drinks | R$ 50,00</t>
  </si>
  <si>
    <t>MD-048</t>
  </si>
  <si>
    <t>Caipirinhas, Caipiroska, Gin tônica, Mojito, Margarita, Clericot, Drinks sem álcool, Drink personalizado dos noivos, Vodka nacional ou importada intermediária, Gin nacional ou importado intermediário, Rum, Aperol, Espumante para drinks</t>
  </si>
  <si>
    <t>MD-049 | Caipirinhas, Caipiroska, Gin tônica, Mojito, Margarita, Clericot, Drinks sem álcool, Drink personalizado dos noivos, Vodka nacional ou importada intermediária, Gin nacional ou importado intermediário, Rum, Aperol, Espumante para drinks, Tequila, Campari, | R$ 110,00</t>
  </si>
  <si>
    <t>MD-049</t>
  </si>
  <si>
    <t>Caipirinhas, Caipiroska, Gin tônica, Mojito, Margarita, Clericot, Drinks sem álcool, Drink personalizado dos noivos, Vodka nacional ou importada intermediária, Gin nacional ou importado intermediário, Rum, Aperol, Espumante para drinks, Tequila, Campari,</t>
  </si>
  <si>
    <t>MD-050 | Chopp claro ou escuro - 50litros a partir de: (varia em função da marca) | R$ 1.190,00</t>
  </si>
  <si>
    <t>MD-050</t>
  </si>
  <si>
    <t>bebidas_especiais</t>
  </si>
  <si>
    <t>por litro/barril</t>
  </si>
  <si>
    <t>litro/barril</t>
  </si>
  <si>
    <t>Chopp claro ou escuro - 50litros a partir de: (varia em função da marca)</t>
  </si>
  <si>
    <t>MD-051 | recebimento, armazenamento, resfriamento quando necessário, organização, taças, serviço de salão, controle de abertura, devolução das garrafas não consumidas | R$ 25,00</t>
  </si>
  <si>
    <t>MD-051</t>
  </si>
  <si>
    <t>por evento</t>
  </si>
  <si>
    <t>evento</t>
  </si>
  <si>
    <t>recebimento, armazenamento, resfriamento quando necessário, organização, taças, serviço de salão, controle de abertura, devolução das garrafas não consumidas</t>
  </si>
  <si>
    <t>MD-054 | Bolo Massa Branca ou Chocolate c/ Recheio beijinho, brigadeiro, nozes, ninho, morango | R$ 12,00</t>
  </si>
  <si>
    <t>MD-054</t>
  </si>
  <si>
    <t>Doces &amp; Cafés</t>
  </si>
  <si>
    <t>bolo_sorvete</t>
  </si>
  <si>
    <t>Bolo Massa Branca ou Chocolate c/ Recheio beijinho, brigadeiro, nozes, ninho, morango</t>
  </si>
  <si>
    <t>Upgrade de substituição</t>
  </si>
  <si>
    <t>MD-055 | Bolo Massa Branca ou Chocolate c/ Recheio mousse de maracujá, morango, chocolate, frutas vermelhas, ganache, limão siciliano | R$ 14,00</t>
  </si>
  <si>
    <t>MD-055</t>
  </si>
  <si>
    <t>Bolo Massa Branca ou Chocolate c/ Recheio mousse de maracujá, morango, chocolate, frutas vermelhas, ganache, limão siciliano</t>
  </si>
  <si>
    <t>MD-056 | Cascata de chocolate | R$ 0,00</t>
  </si>
  <si>
    <t>MD-056</t>
  </si>
  <si>
    <t>sobremesas_doces</t>
  </si>
  <si>
    <t>Cascata de chocolate</t>
  </si>
  <si>
    <t>MD-057 | Estação de doces premium, Petit gâteau, Pudim | R$ 7,00</t>
  </si>
  <si>
    <t>MD-057</t>
  </si>
  <si>
    <t>Estação de doces premium, Petit gâteau, Pudim</t>
  </si>
  <si>
    <t>MD-058 | Doces Finos | R$ 0,00</t>
  </si>
  <si>
    <t>MD-058</t>
  </si>
  <si>
    <t>Doces Finos</t>
  </si>
  <si>
    <t>MD-059 | Bem Casados | R$ 0,00</t>
  </si>
  <si>
    <t>MD-059</t>
  </si>
  <si>
    <t>Bem Casados</t>
  </si>
  <si>
    <t>MD-061 | Cappuccino, Chocolate quente e Licores | R$ 4,50</t>
  </si>
  <si>
    <t>MD-061</t>
  </si>
  <si>
    <t>brunch_encerramento</t>
  </si>
  <si>
    <t>Cappuccino, Chocolate quente e Licores</t>
  </si>
  <si>
    <t>MD-062 | Café coado na hora, chá, Cappuccino, Chocolate quente, Licor, Cookies, Mini pão de queijo, Mini croissant, biscoitos amanteigados | R$ 8,00</t>
  </si>
  <si>
    <t>MD-062</t>
  </si>
  <si>
    <t>Café coado na hora, chá, Cappuccino, Chocolate quente, Licor, Cookies, Mini pão de queijo, Mini croissant, biscoitos amanteigados</t>
  </si>
  <si>
    <t>MD-063 | Arco floral no altar | R$ 0,00</t>
  </si>
  <si>
    <t>MD-063</t>
  </si>
  <si>
    <t>Encantamentos</t>
  </si>
  <si>
    <t>encantamentos</t>
  </si>
  <si>
    <t>Arco floral no altar</t>
  </si>
  <si>
    <t>MD-064 | Backdrop personalizado | R$ 900,00</t>
  </si>
  <si>
    <t>MD-064</t>
  </si>
  <si>
    <t>Backdrop personalizado</t>
  </si>
  <si>
    <t>MD-065 | Espelho de boas-vindas personalizado | R$ 160,00</t>
  </si>
  <si>
    <t>MD-065</t>
  </si>
  <si>
    <t>Espelho de boas-vindas personalizado</t>
  </si>
  <si>
    <t>MD-066 | Flores naturais no Cerimonial. - Mini Margaridas | R$ 1.000,00</t>
  </si>
  <si>
    <t>MD-066</t>
  </si>
  <si>
    <t>Flores naturais no Cerimonial. - Mini Margaridas</t>
  </si>
  <si>
    <t>MD-067 | Carrinho de gelato | R$ 0,00</t>
  </si>
  <si>
    <t>MD-067</t>
  </si>
  <si>
    <t>Carrinho de gelato</t>
  </si>
  <si>
    <t>MD-068 | Cabine de fotos | R$ 1.200,00</t>
  </si>
  <si>
    <t>MD-068</t>
  </si>
  <si>
    <t>Experiência</t>
  </si>
  <si>
    <t>Cabine de fotos</t>
  </si>
  <si>
    <t>MD-069 | Drone | R$ 3.000,00</t>
  </si>
  <si>
    <t>MD-069</t>
  </si>
  <si>
    <t>Drone</t>
  </si>
  <si>
    <t>MD-070 | Fotógrafo | R$ 3.000,00</t>
  </si>
  <si>
    <t>MD-070</t>
  </si>
  <si>
    <t>Fotógrafo</t>
  </si>
  <si>
    <t>MD-071 | Painel de LED | R$ 3.600,00</t>
  </si>
  <si>
    <t>MD-071</t>
  </si>
  <si>
    <t>Painel de LED</t>
  </si>
  <si>
    <t>MD-072 | Pista de dança Paris LED | R$ 1.120,00</t>
  </si>
  <si>
    <t>MD-072</t>
  </si>
  <si>
    <t>Pista de dança Paris LED</t>
  </si>
  <si>
    <t>MD-073 | Plataforma 360 | R$ 910,00</t>
  </si>
  <si>
    <t>MD-073</t>
  </si>
  <si>
    <t>Plataforma 360</t>
  </si>
  <si>
    <t>MD-074 | Projetor + Tela | R$ 1.050,00</t>
  </si>
  <si>
    <t>MD-074</t>
  </si>
  <si>
    <t>Projetor + Tela</t>
  </si>
  <si>
    <t>MD-075 | Robô de LED | R$ 1.200,00</t>
  </si>
  <si>
    <t>MD-075</t>
  </si>
  <si>
    <t>Robô de LED</t>
  </si>
  <si>
    <t>MD-076 | Totem fotográfico | R$ 1.440,00</t>
  </si>
  <si>
    <t>MD-076</t>
  </si>
  <si>
    <t>Totem fotográfico</t>
  </si>
  <si>
    <t>MD-077 | Passarela de madeira | R$ 0,00</t>
  </si>
  <si>
    <t>MD-077</t>
  </si>
  <si>
    <t>Passarela de madeira</t>
  </si>
  <si>
    <t>item_proposta_id</t>
  </si>
  <si>
    <t>tipo_proposta</t>
  </si>
  <si>
    <t>opcao</t>
  </si>
  <si>
    <t>categoria</t>
  </si>
  <si>
    <t>codigo_item</t>
  </si>
  <si>
    <t>status</t>
  </si>
  <si>
    <t>ordem_exibicao</t>
  </si>
  <si>
    <t>observacao</t>
  </si>
  <si>
    <t>atualizado_em</t>
  </si>
  <si>
    <t>IP001</t>
  </si>
  <si>
    <t>PADRAO</t>
  </si>
  <si>
    <t>ATIVO</t>
  </si>
  <si>
    <t>Opção 1 da proposta</t>
  </si>
  <si>
    <t>IP002</t>
  </si>
  <si>
    <t>Opção 2 da proposta</t>
  </si>
  <si>
    <t>IP003</t>
  </si>
  <si>
    <t>Opção 3 da proposta</t>
  </si>
  <si>
    <t>IP004</t>
  </si>
  <si>
    <t>Opção 4 da proposta</t>
  </si>
  <si>
    <t>ordem_fase</t>
  </si>
  <si>
    <t>card</t>
  </si>
  <si>
    <t>caminho_sugerido</t>
  </si>
  <si>
    <t>tipo_item</t>
  </si>
  <si>
    <t>natureza_sugerida</t>
  </si>
  <si>
    <t>tipo_cobranca_sugerido</t>
  </si>
  <si>
    <t>qtd_referencia</t>
  </si>
  <si>
    <t>custo_insumo</t>
  </si>
  <si>
    <t>custo_equipe</t>
  </si>
  <si>
    <t>custo_operacional</t>
  </si>
  <si>
    <t>perda_pct</t>
  </si>
  <si>
    <t>custo_base</t>
  </si>
  <si>
    <t>custo_com_perda</t>
  </si>
  <si>
    <t>markup_sugerido</t>
  </si>
  <si>
    <t>preco_venda_sugerido</t>
  </si>
  <si>
    <t>preco_arredondado</t>
  </si>
  <si>
    <t>preco_manual</t>
  </si>
  <si>
    <t>preco_final</t>
  </si>
  <si>
    <t>margem_bruta_pct</t>
  </si>
  <si>
    <t>observacoes</t>
  </si>
  <si>
    <t>grupo_escolha</t>
  </si>
  <si>
    <t>selecionado_padrao</t>
  </si>
  <si>
    <t>incluido_no_preco_inicial</t>
  </si>
  <si>
    <t>pode_remover</t>
  </si>
  <si>
    <t>exige_substituto</t>
  </si>
  <si>
    <t>minimo_grupo</t>
  </si>
  <si>
    <t>maximo_grupo</t>
  </si>
  <si>
    <t>obrigatorio_para_fechar</t>
  </si>
  <si>
    <t>gera_desconto_ao_remover</t>
  </si>
  <si>
    <t>visivel_app</t>
  </si>
  <si>
    <t>regra_total_app</t>
  </si>
  <si>
    <t>regra_calculo_app</t>
  </si>
  <si>
    <t>preco_final_num</t>
  </si>
  <si>
    <t>custo_insumo_num</t>
  </si>
  <si>
    <t>preco_display</t>
  </si>
  <si>
    <t>Visivel no menu</t>
  </si>
  <si>
    <t>descricao_atelie</t>
  </si>
  <si>
    <t>MD-001</t>
  </si>
  <si>
    <t>Antes e depois do sim</t>
  </si>
  <si>
    <t>incluso na base</t>
  </si>
  <si>
    <t>Base Principal</t>
  </si>
  <si>
    <t>Boas-vindas - Agua Saborizada, Refrigerantes, Canapés, Patês e Torradinhas</t>
  </si>
  <si>
    <t>Essencial</t>
  </si>
  <si>
    <t>Composição</t>
  </si>
  <si>
    <t>Incluso na base</t>
  </si>
  <si>
    <t>10,0%</t>
  </si>
  <si>
    <t>50,0%</t>
  </si>
  <si>
    <t>ativo</t>
  </si>
  <si>
    <t>base_evento</t>
  </si>
  <si>
    <t>SIM</t>
  </si>
  <si>
    <t>incluso_no_preco_inicial_nao_somar</t>
  </si>
  <si>
    <t>Item fixo da Experiência Essencial. Exibir como incluso; não somar novamente e não permitir remoção.</t>
  </si>
  <si>
    <t>R$ 2,20</t>
  </si>
  <si>
    <t>NAO</t>
  </si>
  <si>
    <t>Boas-vindas - Canapés, Patês e Torradinhas</t>
  </si>
  <si>
    <t>Mini Salgados: Bolinho de carne, Mini coxinha, Mini risole de presunto, Mini risole de calabresa, Mini kibe, Polenta</t>
  </si>
  <si>
    <t>1,0%</t>
  </si>
  <si>
    <t>Entradas essenciais inclusas. Exibir como incluso; não somar novamente e não permitir remoção.</t>
  </si>
  <si>
    <t>R$ 10,00</t>
  </si>
  <si>
    <t>MD-003</t>
  </si>
  <si>
    <t>Bolo Massa Branca ou Chocolate c/ Recheio doce de leite com abacaxi, ameixa</t>
  </si>
  <si>
    <t>-65,0%</t>
  </si>
  <si>
    <t>1</t>
  </si>
  <si>
    <t>Bolo base incluso. Se houver upgrade, manter apenas 1 opção ativa no grupo bolo_sorvete.</t>
  </si>
  <si>
    <t>R$ 8,00</t>
  </si>
  <si>
    <t>Café, chá, biscoitos amanteigados</t>
  </si>
  <si>
    <t>68,6%</t>
  </si>
  <si>
    <t>Brunch essencial incluso. Exibir como incluso; não somar novamente e não permitir remoção.</t>
  </si>
  <si>
    <t>R$ 3,50</t>
  </si>
  <si>
    <t>Hora da Balada</t>
  </si>
  <si>
    <t>Refrigerantes 1a linha, light, diet, 2 tipos de suco de frutas natural</t>
  </si>
  <si>
    <t>3,0%</t>
  </si>
  <si>
    <t>7,3%</t>
  </si>
  <si>
    <t>MD-006</t>
  </si>
  <si>
    <t>Massas &amp; Saladas</t>
  </si>
  <si>
    <t>Espaguete à carbonara ou ao sugo</t>
  </si>
  <si>
    <t>Personalização</t>
  </si>
  <si>
    <t>Complemento</t>
  </si>
  <si>
    <t>72,5%</t>
  </si>
  <si>
    <t>somar_quando_selecionado</t>
  </si>
  <si>
    <t>Estação, ilha ou massa individual. Somar ao total quando selecionado.</t>
  </si>
  <si>
    <t>Pratos Principais</t>
  </si>
  <si>
    <t>Arroz branco, arroz à grega ou arroz com brócolis e Feijão</t>
  </si>
  <si>
    <t>56,0%</t>
  </si>
  <si>
    <t>R$ 5,00</t>
  </si>
  <si>
    <t>Saladas &amp; Guarnições</t>
  </si>
  <si>
    <t>Saladas: mix de folhas, alface, rúcula, agrião, tomate, pepino, cebola</t>
  </si>
  <si>
    <t>R$ 3,00</t>
  </si>
  <si>
    <t>R$ 3,30</t>
  </si>
  <si>
    <t>2,00</t>
  </si>
  <si>
    <t>R$ 6,60</t>
  </si>
  <si>
    <t>R$ 7,00</t>
  </si>
  <si>
    <t>52,9%</t>
  </si>
  <si>
    <t>Welcome Drinks</t>
  </si>
  <si>
    <t>Cerimônia e Acolhimento</t>
  </si>
  <si>
    <t>Serviço/Experiência</t>
  </si>
  <si>
    <t>R$ 2,00</t>
  </si>
  <si>
    <t>R$ 4,40</t>
  </si>
  <si>
    <t>Somar ao total quando selecionado.</t>
  </si>
  <si>
    <t>2</t>
  </si>
  <si>
    <t>Entradas Gourmet</t>
  </si>
  <si>
    <t>Entradas Gourmet I</t>
  </si>
  <si>
    <t>Celebração</t>
  </si>
  <si>
    <t>R$ 9,00</t>
  </si>
  <si>
    <t>R$ 9,90</t>
  </si>
  <si>
    <t>1,50</t>
  </si>
  <si>
    <t>R$ 14,85</t>
  </si>
  <si>
    <t>R$ 20,00</t>
  </si>
  <si>
    <t>R$ 14,00</t>
  </si>
  <si>
    <t>29,3%</t>
  </si>
  <si>
    <t>Acrescenta variedade às entradas essenciais. Somar ao total quando selecionado.</t>
  </si>
  <si>
    <t>Entradas Premium</t>
  </si>
  <si>
    <t>Entradas Gourmet II</t>
  </si>
  <si>
    <t>Premium</t>
  </si>
  <si>
    <t>R$ 15,00</t>
  </si>
  <si>
    <t>R$ 16,50</t>
  </si>
  <si>
    <t>R$ 24,75</t>
  </si>
  <si>
    <t>R$ 30,00</t>
  </si>
  <si>
    <t>R$ 25,00</t>
  </si>
  <si>
    <t>34,0%</t>
  </si>
  <si>
    <t>Carnes</t>
  </si>
  <si>
    <t>Carnes Bovinas</t>
  </si>
  <si>
    <t>Item avulso</t>
  </si>
  <si>
    <t>R$ 33,00</t>
  </si>
  <si>
    <t>R$ 36,30</t>
  </si>
  <si>
    <t>R$ 54,45</t>
  </si>
  <si>
    <t>R$ 60,00</t>
  </si>
  <si>
    <t>R$ 55,00</t>
  </si>
  <si>
    <t>Pode compor o prato principal do evento. Caso o Strogonoff padrão seja removido, este item assume como prato principal escolhido.</t>
  </si>
  <si>
    <t>Somar ao total quando selecionado. Pode substituir o Strogonoff padrão, sem desconto pela remoção do padrão.</t>
  </si>
  <si>
    <t>R$ 45,00</t>
  </si>
  <si>
    <t>R$ 49,50</t>
  </si>
  <si>
    <t>R$ 74,25</t>
  </si>
  <si>
    <t>R$ 80,00</t>
  </si>
  <si>
    <t>38,1%</t>
  </si>
  <si>
    <t>R$ 50,00</t>
  </si>
  <si>
    <t>27,4%</t>
  </si>
  <si>
    <t>Suino</t>
  </si>
  <si>
    <t>Carnes Suínas</t>
  </si>
  <si>
    <t>R$ 27,50</t>
  </si>
  <si>
    <t>1,30</t>
  </si>
  <si>
    <t>R$ 35,75</t>
  </si>
  <si>
    <t>R$ 40,00</t>
  </si>
  <si>
    <t>R$ 35,00</t>
  </si>
  <si>
    <t>21,4%</t>
  </si>
  <si>
    <t>Frango</t>
  </si>
  <si>
    <t>Carnes Frango</t>
  </si>
  <si>
    <t>16,7%</t>
  </si>
  <si>
    <t>R$ 22,00</t>
  </si>
  <si>
    <t>R$ 28,60</t>
  </si>
  <si>
    <t>26,7%</t>
  </si>
  <si>
    <t>Strogonoff é uma opção comum de prato principal. Não vem selecionado no simulador; deve ser escolhido como qualquer outro prato principal.</t>
  </si>
  <si>
    <t>Prato principal comum. O investimento final só é exibido quando houver ao menos 1 item do grupo prato_principal selecionado.</t>
  </si>
  <si>
    <t>Peixe</t>
  </si>
  <si>
    <t>45,0%</t>
  </si>
  <si>
    <t>MD-023</t>
  </si>
  <si>
    <t>R$ 32,00</t>
  </si>
  <si>
    <t>R$ 35,20</t>
  </si>
  <si>
    <t>R$ 52,80</t>
  </si>
  <si>
    <t>41,3%</t>
  </si>
  <si>
    <t>Cozinha Mineira</t>
  </si>
  <si>
    <t>À La Mineira Celebração</t>
  </si>
  <si>
    <t>1,20</t>
  </si>
  <si>
    <t>R$ 39,60</t>
  </si>
  <si>
    <t>À La Mineira Essencial</t>
  </si>
  <si>
    <t>17,5%</t>
  </si>
  <si>
    <t>À La Mineira Premium</t>
  </si>
  <si>
    <t>39,5%</t>
  </si>
  <si>
    <t>Na Brasa Margô</t>
  </si>
  <si>
    <t>Brasa Clássica</t>
  </si>
  <si>
    <t>À La Brasa Clássica</t>
  </si>
  <si>
    <t>R$ 21,00</t>
  </si>
  <si>
    <t>12,0%</t>
  </si>
  <si>
    <t>R$ 23,52</t>
  </si>
  <si>
    <t>2,70</t>
  </si>
  <si>
    <t>R$ 63,50</t>
  </si>
  <si>
    <t>R$ 70,00</t>
  </si>
  <si>
    <t>R$ 65,00</t>
  </si>
  <si>
    <t>63,8%</t>
  </si>
  <si>
    <t>Pode ser escolhido como prato principal. Somar quando selecionado.</t>
  </si>
  <si>
    <t>Brasa Nobre</t>
  </si>
  <si>
    <t>À La Brasa Nobre</t>
  </si>
  <si>
    <t>R$ 24,00</t>
  </si>
  <si>
    <t>R$ 26,88</t>
  </si>
  <si>
    <t>R$ 72,58</t>
  </si>
  <si>
    <t>66,4%</t>
  </si>
  <si>
    <t>Brasa Premium</t>
  </si>
  <si>
    <t>À La Brasa Premium</t>
  </si>
  <si>
    <t>R$ 56,00</t>
  </si>
  <si>
    <t>R$ 151,20</t>
  </si>
  <si>
    <t>R$ 160,00</t>
  </si>
  <si>
    <t>65,0%</t>
  </si>
  <si>
    <t>Complementos na Brasa</t>
  </si>
  <si>
    <t>Complemento da Brasa Celebração</t>
  </si>
  <si>
    <t>R$ 4,30</t>
  </si>
  <si>
    <t>R$ 4,82</t>
  </si>
  <si>
    <t>3,00</t>
  </si>
  <si>
    <t>R$ 14,45</t>
  </si>
  <si>
    <t>67,9%</t>
  </si>
  <si>
    <t>Complemento da Brasa. Somar ao total quando selecionado.</t>
  </si>
  <si>
    <t>Complemento da Brasa Essencial</t>
  </si>
  <si>
    <t>R$ 3,80</t>
  </si>
  <si>
    <t>R$ 4,26</t>
  </si>
  <si>
    <t>R$ 12,77</t>
  </si>
  <si>
    <t>R$ 12,00</t>
  </si>
  <si>
    <t>64,5%</t>
  </si>
  <si>
    <t>Complemento da Brasa Premium</t>
  </si>
  <si>
    <t>R$ 5,60</t>
  </si>
  <si>
    <t>R$ 16,80</t>
  </si>
  <si>
    <t>R$ 17,00</t>
  </si>
  <si>
    <t>67,1%</t>
  </si>
  <si>
    <t>Brasa Especial</t>
  </si>
  <si>
    <t>À La Brasa</t>
  </si>
  <si>
    <t>Festival Clássico</t>
  </si>
  <si>
    <t>R$ 66,00</t>
  </si>
  <si>
    <t>Selecionar no máximo 1 festival de massas. Somar ao total quando selecionado.</t>
  </si>
  <si>
    <t>Festival Cremoso</t>
  </si>
  <si>
    <t>2,50</t>
  </si>
  <si>
    <t>R$ 82,50</t>
  </si>
  <si>
    <t>R$ 90,00</t>
  </si>
  <si>
    <t>58,8%</t>
  </si>
  <si>
    <t>Festival Premium</t>
  </si>
  <si>
    <t>Massas Individuais</t>
  </si>
  <si>
    <t>R$ 7,70</t>
  </si>
  <si>
    <t>4,00</t>
  </si>
  <si>
    <t>R$ 30,80</t>
  </si>
  <si>
    <t>74,3%</t>
  </si>
  <si>
    <t>5,00</t>
  </si>
  <si>
    <t>R$ 38,50</t>
  </si>
  <si>
    <t>82,9%</t>
  </si>
  <si>
    <t>Saladas</t>
  </si>
  <si>
    <t>Guarnições e Acompanhamentos</t>
  </si>
  <si>
    <t>R$ 5,50</t>
  </si>
  <si>
    <t>R$ 6,00</t>
  </si>
  <si>
    <t>63,3%</t>
  </si>
  <si>
    <t>R$ 1,20</t>
  </si>
  <si>
    <t>R$ 1,32</t>
  </si>
  <si>
    <t>R$ 2,64</t>
  </si>
  <si>
    <t>MD-044</t>
  </si>
  <si>
    <t>67,0%</t>
  </si>
  <si>
    <t>Culinaria Tipica</t>
  </si>
  <si>
    <t>Vegano/Vegetariano</t>
  </si>
  <si>
    <t>R$ 105,60</t>
  </si>
  <si>
    <t>R$ 110,00</t>
  </si>
  <si>
    <t>68,0%</t>
  </si>
  <si>
    <t>Temático</t>
  </si>
  <si>
    <t>Bar Essencial</t>
  </si>
  <si>
    <t>R$ 13,20</t>
  </si>
  <si>
    <t>62,3%</t>
  </si>
  <si>
    <t>Referência atual: R$ 35 a R$ 55 por pessoa</t>
  </si>
  <si>
    <t>Selecionar no máximo 1 bar principal. Somar ao total quando selecionado.</t>
  </si>
  <si>
    <t>Bar Celebração</t>
  </si>
  <si>
    <t>Referência atual: R$ 60 a R$ 95 por pessoa</t>
  </si>
  <si>
    <t>MD-052</t>
  </si>
  <si>
    <t>Bar Premium</t>
  </si>
  <si>
    <t>5,0%</t>
  </si>
  <si>
    <t>R$ 42,00</t>
  </si>
  <si>
    <t>R$ 126,00</t>
  </si>
  <si>
    <t>R$ 130,00</t>
  </si>
  <si>
    <t>61,8%</t>
  </si>
  <si>
    <t>Referência atual: R$ 110 a R$ 180 por pessoa</t>
  </si>
  <si>
    <t>MD-053</t>
  </si>
  <si>
    <t>Bar Chopp</t>
  </si>
  <si>
    <t>R$ 515,20</t>
  </si>
  <si>
    <t>2,30</t>
  </si>
  <si>
    <t>R$ 1.184,96</t>
  </si>
  <si>
    <t>R$ 1.190,00</t>
  </si>
  <si>
    <t>56,7%</t>
  </si>
  <si>
    <t>Serviço/bebida especial. Somar ao total conforme unidade selecionada.</t>
  </si>
  <si>
    <t>Chopp claro ou escuro - 100litros a partir de: (varia em função da marca)</t>
  </si>
  <si>
    <t>Chopp claro ou escuro - 150litros a partir de: (varia em função da marca)</t>
  </si>
  <si>
    <t>Taxa de Rolha</t>
  </si>
  <si>
    <t>Espumantes / Champagnes</t>
  </si>
  <si>
    <t>R$ 10,50</t>
  </si>
  <si>
    <t>R$ 26,25</t>
  </si>
  <si>
    <t>58,0%</t>
  </si>
  <si>
    <t>Bolo com Sorvete</t>
  </si>
  <si>
    <t>R$ 4,73</t>
  </si>
  <si>
    <t>R$ 11,83</t>
  </si>
  <si>
    <t>60,6%</t>
  </si>
  <si>
    <t>Upgrade do bolo base. Somar apenas o valor incremental quando selecionado e manter somente 1 opção no grupo.</t>
  </si>
  <si>
    <t>R$ 6,05</t>
  </si>
  <si>
    <t>R$ 15,13</t>
  </si>
  <si>
    <t>56,8%</t>
  </si>
  <si>
    <t>Estação Chocolate</t>
  </si>
  <si>
    <t>Sobremesas Doces</t>
  </si>
  <si>
    <t>MD-060</t>
  </si>
  <si>
    <t>Estação Premium</t>
  </si>
  <si>
    <t>Estação Gelatos</t>
  </si>
  <si>
    <t>Mesa do bolo</t>
  </si>
  <si>
    <t>3,01</t>
  </si>
  <si>
    <t>Brunch de Encerramento</t>
  </si>
  <si>
    <t>Complemento Brunch Celebração</t>
  </si>
  <si>
    <t>R$ 4,50</t>
  </si>
  <si>
    <t>51,1%</t>
  </si>
  <si>
    <t>Acrescenta ao Brunch Essencial. Não substitui a base.</t>
  </si>
  <si>
    <t>Complemento do brunch essencial. Acrescenta itens à base e deve ser somado quando selecionado.</t>
  </si>
  <si>
    <t>Complemento Brunch Premium</t>
  </si>
  <si>
    <t>R$ 4,00</t>
  </si>
  <si>
    <t>R$ 8,80</t>
  </si>
  <si>
    <t>Encantamentos &amp; Experiência</t>
  </si>
  <si>
    <t>Decoração Extra</t>
  </si>
  <si>
    <t>Cerimônia e Encantamentos</t>
  </si>
  <si>
    <t>0,0%</t>
  </si>
  <si>
    <t>R$ 500,00</t>
  </si>
  <si>
    <t>R$ 1.000,00</t>
  </si>
  <si>
    <t>Decoração e Ambientação</t>
  </si>
  <si>
    <t xml:space="preserve"> Momentos &amp; Lembranças</t>
  </si>
  <si>
    <t>R$ 300,00</t>
  </si>
  <si>
    <t>R$ 900,00</t>
  </si>
  <si>
    <t>66,7%</t>
  </si>
  <si>
    <t>2,60</t>
  </si>
  <si>
    <t>R$ 156,00</t>
  </si>
  <si>
    <t>62,5%</t>
  </si>
  <si>
    <t>Memórias</t>
  </si>
  <si>
    <t>Experiência para Sempre</t>
  </si>
  <si>
    <t>R$ 1.200,00</t>
  </si>
  <si>
    <t>R$ 2.500,00</t>
  </si>
  <si>
    <t>R$ 3.000,00</t>
  </si>
  <si>
    <t>R$ 3.600,00</t>
  </si>
  <si>
    <t>R$ 700,00</t>
  </si>
  <si>
    <t>1,60</t>
  </si>
  <si>
    <t>R$ 1.120,00</t>
  </si>
  <si>
    <t>37,5%</t>
  </si>
  <si>
    <t>R$ 910,00</t>
  </si>
  <si>
    <t>23,1%</t>
  </si>
  <si>
    <t>R$ 350,00</t>
  </si>
  <si>
    <t>R$ 1.050,00</t>
  </si>
  <si>
    <t>MD-078</t>
  </si>
  <si>
    <t>MD-079</t>
  </si>
  <si>
    <t>R$ 1.440,00</t>
  </si>
  <si>
    <t>regra_id</t>
  </si>
  <si>
    <t>nome_regra</t>
  </si>
  <si>
    <t>dia_semana</t>
  </si>
  <si>
    <t>periodo_evento</t>
  </si>
  <si>
    <t>hora_inicio</t>
  </si>
  <si>
    <t>hora_fim</t>
  </si>
  <si>
    <t>valor_base_fixo</t>
  </si>
  <si>
    <t>multiplicador_periodo</t>
  </si>
  <si>
    <t>acrescimo_fixo_periodo</t>
  </si>
  <si>
    <t>valor_minimo_evento</t>
  </si>
  <si>
    <t>adicional_exclusividade</t>
  </si>
  <si>
    <t>chave_regra</t>
  </si>
  <si>
    <t>REG-001</t>
  </si>
  <si>
    <t>Segunda a quinta - manhã</t>
  </si>
  <si>
    <t>segunda-quinta</t>
  </si>
  <si>
    <t>manhã</t>
  </si>
  <si>
    <t>09:00</t>
  </si>
  <si>
    <t>14:00</t>
  </si>
  <si>
    <t>Exemplo; ajuste os valores conforme sua regra comercial.</t>
  </si>
  <si>
    <t>REG-002</t>
  </si>
  <si>
    <t>Segunda a quinta - noite</t>
  </si>
  <si>
    <t>noite</t>
  </si>
  <si>
    <t>17:00</t>
  </si>
  <si>
    <t>22:00</t>
  </si>
  <si>
    <t>REG-003</t>
  </si>
  <si>
    <t>Sexta - manhã</t>
  </si>
  <si>
    <t>sexta</t>
  </si>
  <si>
    <t>REG-004</t>
  </si>
  <si>
    <t>Sexta - noite</t>
  </si>
  <si>
    <t>REG-005</t>
  </si>
  <si>
    <t>Sábado - manhã</t>
  </si>
  <si>
    <t>sábado</t>
  </si>
  <si>
    <t>Sábado - noite</t>
  </si>
  <si>
    <t>REG-007</t>
  </si>
  <si>
    <t>Domingo - manhã</t>
  </si>
  <si>
    <t>domingo</t>
  </si>
  <si>
    <t>REG-008</t>
  </si>
  <si>
    <t>Domingo - noite</t>
  </si>
  <si>
    <t>preco_final_por_pessoa</t>
  </si>
  <si>
    <t>Entradas Essenciais</t>
  </si>
  <si>
    <t>Gastronomia</t>
  </si>
  <si>
    <t>6</t>
  </si>
  <si>
    <t>Bebidas</t>
  </si>
  <si>
    <t>Refrigerantes e Sucos</t>
  </si>
  <si>
    <t>Doces &amp; Encerramento</t>
  </si>
  <si>
    <t>Brunch Essencial</t>
  </si>
  <si>
    <t>TOTAL BASE INCLUSA POR PESSOA</t>
  </si>
  <si>
    <t>COMO USAR O SIMULADOR COM LISTA</t>
  </si>
  <si>
    <t>Abra a aba simulador_lista.</t>
  </si>
  <si>
    <t>Preencha Convidados, Regra de período e Exclusividade do dia.</t>
  </si>
  <si>
    <t>3</t>
  </si>
  <si>
    <t>Na tabela de seleção, clique em 'Selecione o item' e escolha os itens pela lista.</t>
  </si>
  <si>
    <t>4</t>
  </si>
  <si>
    <t>Escolha pelo menos 1 item do grupo prato_principal. Sem prato principal, o total final não aparece.</t>
  </si>
  <si>
    <t>5</t>
  </si>
  <si>
    <t>Itens por pessoa multiplicam automaticamente pela quantidade de convidados.</t>
  </si>
  <si>
    <t>Itens por evento somam uma vez só.</t>
  </si>
  <si>
    <t>7</t>
  </si>
  <si>
    <t>Itens por garrafa/barril usam a coluna 'Qtd manual'.</t>
  </si>
  <si>
    <t>8</t>
  </si>
  <si>
    <t>Campos de desconto/incremento são para admin e podem ficar ocultos no front-end das CPs.</t>
  </si>
  <si>
    <t>REGRA COMERCIAL</t>
  </si>
  <si>
    <t>A noiva não vê valor cair por remover Strogonoff, porque nenhum prato principal começa selecionado. O total só aparece depois de escolher o prato principal.</t>
  </si>
  <si>
    <t>Nova regra</t>
  </si>
  <si>
    <t>Uso</t>
  </si>
  <si>
    <t>regras_equipe</t>
  </si>
  <si>
    <t>Edite as faixas de convidados e o custo_equipe_extra. O simulador busca automaticamente pela quantidade de convidados.</t>
  </si>
  <si>
    <t>regras_reajuste_data</t>
  </si>
  <si>
    <t>Edite data_inicio, data_fim e multiplicador_data. O simulador aplica o reajuste conforme a data do casamento informada em simulador_lista!E4.</t>
  </si>
  <si>
    <t>simulador_lista</t>
  </si>
  <si>
    <t>Preencha convidados, regra de período, exclusividade e data do casamento. Selecione os itens nas caixas de listagem.</t>
  </si>
  <si>
    <t>descontos</t>
  </si>
  <si>
    <t>Campos de desconto continuam no topo e devem ser usados somente pelo admin.</t>
  </si>
  <si>
    <t>fórmula final</t>
  </si>
  <si>
    <t>Base calculada + itens selecionados + equipe extra + incremento admin =&gt; aplica multiplicador/data =&gt; desconta =&gt; respeita valor mínimo ajustado.</t>
  </si>
  <si>
    <t>Integração CRM/n8n</t>
  </si>
  <si>
    <t>A automação deve preencher B26 com o DISPLAY da coluna AA, não com o código direto. O script FINAL busca o código em AB e escreve o display em B26.</t>
  </si>
  <si>
    <t>Itens da proposta</t>
  </si>
  <si>
    <t>Editar apenas a aba itens_proposta. O script lê tipo_proposta=PADRAO, status=ATIVO e ordem_exibicao.</t>
  </si>
  <si>
    <t>Apps Script</t>
  </si>
  <si>
    <t>Arquivo separado: apps_script_calculadora_proposta_margo_FINAL.gs. XLSX não carrega Apps Script embutido ao subir para Google Sheets.</t>
  </si>
  <si>
    <t>URL no n8n</t>
  </si>
  <si>
    <t>Cole a URL /exec publicada no node HTTP Request - Calcular na Planilha.</t>
  </si>
  <si>
    <t>convidados_min</t>
  </si>
  <si>
    <t>convidados_max</t>
  </si>
  <si>
    <t>nome_faixa</t>
  </si>
  <si>
    <t>equipe_descricao</t>
  </si>
  <si>
    <t>custo_equipe_total</t>
  </si>
  <si>
    <t>custo_equipe_incluso_base</t>
  </si>
  <si>
    <t>custo_equipe_extra</t>
  </si>
  <si>
    <t>EQ-001</t>
  </si>
  <si>
    <t>Equipe base</t>
  </si>
  <si>
    <t>Equipe base já contemplada na operação</t>
  </si>
  <si>
    <t>Ajuste os valores conforme sua operação real.</t>
  </si>
  <si>
    <t>EQ-002</t>
  </si>
  <si>
    <t>Reforço 101 a 150</t>
  </si>
  <si>
    <t>Reforço de salão/cozinha/apoio conforme necessidade</t>
  </si>
  <si>
    <t>Valor exemplo; altere livremente.</t>
  </si>
  <si>
    <t>EQ-003</t>
  </si>
  <si>
    <t>Reforço 151 a 200</t>
  </si>
  <si>
    <t>Reforço maior de salão/cozinha/apoio</t>
  </si>
  <si>
    <t>EQ-004</t>
  </si>
  <si>
    <t>Reforço 201 a 250</t>
  </si>
  <si>
    <t>Equipe ampliada para evento grande</t>
  </si>
  <si>
    <t>EQ-005</t>
  </si>
  <si>
    <t>Reforço 251 a 300</t>
  </si>
  <si>
    <t>Equipe ampliada plus</t>
  </si>
  <si>
    <t>EQ-006</t>
  </si>
  <si>
    <t>Acima de 300</t>
  </si>
  <si>
    <t>Analisar operação manualmente</t>
  </si>
  <si>
    <t>Usar como trava mínima até análise manual.</t>
  </si>
  <si>
    <t>data_inicio</t>
  </si>
  <si>
    <t>data_fim</t>
  </si>
  <si>
    <t>semestre</t>
  </si>
  <si>
    <t>ano</t>
  </si>
  <si>
    <t>multiplicador_data</t>
  </si>
  <si>
    <t>acrescimo_fixo_data</t>
  </si>
  <si>
    <t>REAJ-2026-2</t>
  </si>
  <si>
    <t>2º semestre</t>
  </si>
  <si>
    <t>Exemplo: reajuste de 8% no segundo semestre.</t>
  </si>
  <si>
    <t>REAJ-2027-1</t>
  </si>
  <si>
    <t>1º semestre</t>
  </si>
  <si>
    <t>Exemplo: reajuste acumulado.</t>
  </si>
  <si>
    <t>REAJ-2027-2</t>
  </si>
  <si>
    <t>REAJ-2028-1</t>
  </si>
  <si>
    <t>REAJ-2028-2</t>
  </si>
  <si>
    <t>REAJ-2029-1</t>
  </si>
  <si>
    <t xml:space="preserve"> </t>
  </si>
  <si>
    <t>data</t>
  </si>
  <si>
    <t>nome</t>
  </si>
  <si>
    <t>tipo</t>
  </si>
  <si>
    <t>abrangencia</t>
  </si>
  <si>
    <t>regra_aplicada</t>
  </si>
  <si>
    <t>tratar_como</t>
  </si>
  <si>
    <t>Confraternização Universal</t>
  </si>
  <si>
    <t>feriado</t>
  </si>
  <si>
    <t>nacional</t>
  </si>
  <si>
    <t>sabado</t>
  </si>
  <si>
    <t>Feriado nacional</t>
  </si>
  <si>
    <t>Véspera de Carnaval</t>
  </si>
  <si>
    <t>vespera</t>
  </si>
  <si>
    <t>nacional_revisar</t>
  </si>
  <si>
    <t>Véspera de: Carnaval</t>
  </si>
  <si>
    <t>Carnaval</t>
  </si>
  <si>
    <t>feriado_operacional</t>
  </si>
  <si>
    <t>Data móvel — revisar se tratar comercialmente como feriado</t>
  </si>
  <si>
    <t>Véspera de Sexta-feira Santa</t>
  </si>
  <si>
    <t>Véspera de: Sexta-feira Santa</t>
  </si>
  <si>
    <t>Sexta-feira Santa</t>
  </si>
  <si>
    <t>Data móvel</t>
  </si>
  <si>
    <t>Véspera de Tiradentes</t>
  </si>
  <si>
    <t>Véspera de: Tiradentes</t>
  </si>
  <si>
    <t>Tiradentes</t>
  </si>
  <si>
    <t>Véspera de Dia do Trabalho</t>
  </si>
  <si>
    <t>Véspera de: Dia do Trabalho</t>
  </si>
  <si>
    <t>Dia do Trabalho</t>
  </si>
  <si>
    <t>Véspera de Corpus Christi</t>
  </si>
  <si>
    <t>municipal_revisar</t>
  </si>
  <si>
    <t>Véspera de: Corpus Christi</t>
  </si>
  <si>
    <t>Corpus Christi</t>
  </si>
  <si>
    <t>Data móvel — revisar legislação local</t>
  </si>
  <si>
    <t>Véspera de Revolução Constitucionalista</t>
  </si>
  <si>
    <t>estadual_sp</t>
  </si>
  <si>
    <t>Véspera de: Revolução Constitucionalista</t>
  </si>
  <si>
    <t>Revolução Constitucionalista</t>
  </si>
  <si>
    <t>Feriado estadual de São Paulo</t>
  </si>
  <si>
    <t>Véspera de Independência do Brasil</t>
  </si>
  <si>
    <t>Véspera de: Independência do Brasil</t>
  </si>
  <si>
    <t>Independência do Brasil</t>
  </si>
  <si>
    <t>Véspera de Nossa Senhora Aparecida</t>
  </si>
  <si>
    <t>Véspera de: Nossa Senhora Aparecida</t>
  </si>
  <si>
    <t>Nossa Senhora Aparecida</t>
  </si>
  <si>
    <t>Véspera de Finados</t>
  </si>
  <si>
    <t>Véspera de: Finados</t>
  </si>
  <si>
    <t>Finados</t>
  </si>
  <si>
    <t>Véspera de Proclamação da República</t>
  </si>
  <si>
    <t>Véspera de: Proclamação da República</t>
  </si>
  <si>
    <t>Proclamação da República</t>
  </si>
  <si>
    <t>Véspera de Consciência Negra</t>
  </si>
  <si>
    <t>Véspera de: Consciência Negra</t>
  </si>
  <si>
    <t>Consciência Negra</t>
  </si>
  <si>
    <t>Véspera de Aniversário de Guarulhos / Nossa Senhora da Conceição</t>
  </si>
  <si>
    <t>municipal_guarulhos</t>
  </si>
  <si>
    <t>Véspera de: Aniversário de Guarulhos / Nossa Senhora da Conceição</t>
  </si>
  <si>
    <t>Aniversário de Guarulhos / Nossa Senhora da Conceição</t>
  </si>
  <si>
    <t>Feriado municipal Guarulhos — revisar legislação local</t>
  </si>
  <si>
    <t>Véspera de Natal</t>
  </si>
  <si>
    <t>Véspera de: Natal</t>
  </si>
  <si>
    <t>Natal</t>
  </si>
  <si>
    <t>Véspera de Confraternização Universal</t>
  </si>
  <si>
    <t>Véspera de: Confraternização Universal</t>
  </si>
  <si>
    <t>Véspera de feriado nacional de 01/01/2030</t>
  </si>
  <si>
    <t>codigo_antigo</t>
  </si>
  <si>
    <t>codigo_novo</t>
  </si>
  <si>
    <t>ANTES E DEPOIS DO SIM</t>
  </si>
  <si>
    <t>BASE PRINCIPAL</t>
  </si>
  <si>
    <t>CARNES</t>
  </si>
  <si>
    <t>SUINO</t>
  </si>
  <si>
    <t>FRANGO</t>
  </si>
  <si>
    <t>PEIXE</t>
  </si>
  <si>
    <t>Guarnições e Saladas</t>
  </si>
  <si>
    <t>CULINARIA TIPICA</t>
  </si>
  <si>
    <t>CHURRASCOS &amp; Cia</t>
  </si>
  <si>
    <t>MASSAS</t>
  </si>
  <si>
    <t>Estações</t>
  </si>
  <si>
    <t>inativo</t>
  </si>
  <si>
    <t>Ajuste</t>
  </si>
  <si>
    <t>Descrição</t>
  </si>
  <si>
    <t>Códigos MD</t>
  </si>
  <si>
    <t>Normalizados em sequência conforme ordem visual/operacional da aba itens_modulares.</t>
  </si>
  <si>
    <t>descrição_atelie</t>
  </si>
  <si>
    <t>Nova coluna AQ. Inicialmente copiada da coluna F (item) para futura edição comercial do texto do modal.</t>
  </si>
  <si>
    <t>Coluna AP corrigida com fórmula baseada em grupo_escolha = prato_principal.</t>
  </si>
  <si>
    <t>Linhas que estavam com ordem_fase 4 foram corrigidas para ordem_fase 10.</t>
  </si>
  <si>
    <t>Havia duplicidade. A primeira ficou ativa; a duplicada ficou inativa e invisível no app.</t>
  </si>
  <si>
    <t>Movido para ordem_fase 16, categoria Estações, dentro de Encantamentos.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</si>
</sst>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R$&quot; #,##0.00"/>
    <numFmt numFmtId="166" formatCode="R$ #,##0.00"/>
    <numFmt numFmtId="167" formatCode="[$R$ -416]#,##0.00"/>
    <numFmt numFmtId="168" formatCode="d/m/yyyy"/>
  </numFmts>
  <fonts count="12">
    <font>
      <sz val="10.0"/>
      <color rgb="FF000000"/>
      <name val="Arial"/>
      <scheme val="minor"/>
    </font>
    <font>
      <b/>
      <sz val="16.0"/>
      <color rgb="FFFFFFFF"/>
      <name val="Carlito"/>
    </font>
    <font>
      <b/>
      <color theme="1"/>
      <name val="Arial"/>
    </font>
    <font>
      <color theme="1"/>
      <name val="Arial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rgb="FFFFFFFF"/>
      <name val="Carlito"/>
    </font>
    <font>
      <b/>
      <sz val="11.0"/>
      <color theme="1"/>
      <name val="Carlito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73B2F"/>
        <bgColor rgb="FF173B2F"/>
      </patternFill>
    </fill>
    <fill>
      <patternFill patternType="solid">
        <fgColor rgb="FFD9C7A3"/>
        <bgColor rgb="FFD9C7A3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0F766E"/>
        <bgColor rgb="FF0F766E"/>
      </patternFill>
    </fill>
    <fill>
      <patternFill patternType="solid">
        <fgColor rgb="FF0F5132"/>
        <bgColor rgb="FF0F5132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wrapText="1"/>
    </xf>
    <xf borderId="0" fillId="0" fontId="3" numFmtId="0" xfId="0" applyFont="1"/>
    <xf borderId="0" fillId="2" fontId="4" numFmtId="0" xfId="0" applyAlignment="1" applyFont="1">
      <alignment horizontal="center" shrinkToFit="0" vertical="center" wrapText="1"/>
    </xf>
    <xf borderId="0" fillId="4" fontId="5" numFmtId="1" xfId="0" applyAlignment="1" applyFill="1" applyFont="1" applyNumberFormat="1">
      <alignment readingOrder="0"/>
    </xf>
    <xf borderId="0" fillId="4" fontId="6" numFmtId="164" xfId="0" applyAlignment="1" applyFont="1" applyNumberFormat="1">
      <alignment readingOrder="0" vertical="center"/>
    </xf>
    <xf borderId="0" fillId="4" fontId="5" numFmtId="0" xfId="0" applyAlignment="1" applyFont="1">
      <alignment readingOrder="0"/>
    </xf>
    <xf borderId="0" fillId="5" fontId="6" numFmtId="2" xfId="0" applyAlignment="1" applyFill="1" applyFont="1" applyNumberFormat="1">
      <alignment vertical="center"/>
    </xf>
    <xf borderId="0" fillId="4" fontId="5" numFmtId="0" xfId="0" applyFont="1"/>
    <xf borderId="0" fillId="5" fontId="6" numFmtId="165" xfId="0" applyAlignment="1" applyFont="1" applyNumberFormat="1">
      <alignment vertical="center"/>
    </xf>
    <xf borderId="0" fillId="4" fontId="5" numFmtId="10" xfId="0" applyFont="1" applyNumberFormat="1"/>
    <xf borderId="0" fillId="4" fontId="5" numFmtId="165" xfId="0" applyFont="1" applyNumberFormat="1"/>
    <xf borderId="0" fillId="5" fontId="5" numFmtId="165" xfId="0" applyFont="1" applyNumberFormat="1"/>
    <xf borderId="0" fillId="5" fontId="6" numFmtId="0" xfId="0" applyAlignment="1" applyFont="1">
      <alignment vertical="center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5" fontId="5" numFmtId="0" xfId="0" applyFont="1"/>
    <xf borderId="0" fillId="6" fontId="4" numFmtId="0" xfId="0" applyAlignment="1" applyFill="1" applyFont="1">
      <alignment vertical="center"/>
    </xf>
    <xf borderId="0" fillId="5" fontId="9" numFmtId="165" xfId="0" applyAlignment="1" applyFont="1" applyNumberFormat="1">
      <alignment vertical="center"/>
    </xf>
    <xf borderId="0" fillId="5" fontId="10" numFmtId="0" xfId="0" applyFont="1"/>
    <xf borderId="0" fillId="7" fontId="4" numFmtId="0" xfId="0" applyAlignment="1" applyFill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0" fontId="5" numFmtId="166" xfId="0" applyAlignment="1" applyFont="1" applyNumberFormat="1">
      <alignment shrinkToFit="0" wrapText="1"/>
    </xf>
    <xf borderId="0" fillId="4" fontId="5" numFmtId="1" xfId="0" applyAlignment="1" applyFont="1" applyNumberFormat="1">
      <alignment shrinkToFit="0" wrapText="1"/>
    </xf>
    <xf borderId="0" fillId="0" fontId="5" numFmtId="1" xfId="0" applyAlignment="1" applyFont="1" applyNumberFormat="1">
      <alignment shrinkToFit="0" wrapText="1"/>
    </xf>
    <xf borderId="0" fillId="4" fontId="5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167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8" fontId="3" numFmtId="0" xfId="0" applyAlignment="1" applyFill="1" applyFont="1">
      <alignment horizontal="center" readingOrder="0" shrinkToFit="0" wrapText="1"/>
    </xf>
    <xf borderId="0" fillId="8" fontId="3" numFmtId="0" xfId="0" applyAlignment="1" applyFont="1">
      <alignment shrinkToFit="0" wrapText="1"/>
    </xf>
    <xf borderId="0" fillId="8" fontId="8" numFmtId="0" xfId="0" applyAlignment="1" applyFont="1">
      <alignment shrinkToFit="0" vertical="bottom" wrapText="1"/>
    </xf>
    <xf borderId="0" fillId="8" fontId="3" numFmtId="167" xfId="0" applyAlignment="1" applyFont="1" applyNumberFormat="1">
      <alignment horizontal="center" shrinkToFit="0" wrapText="1"/>
    </xf>
    <xf borderId="0" fillId="8" fontId="3" numFmtId="0" xfId="0" applyAlignment="1" applyFont="1">
      <alignment horizontal="center" shrinkToFit="0" wrapText="1"/>
    </xf>
    <xf borderId="0" fillId="8" fontId="8" numFmtId="0" xfId="0" applyAlignment="1" applyFont="1">
      <alignment horizontal="center" readingOrder="0" shrinkToFit="0" vertical="bottom" wrapText="1"/>
    </xf>
    <xf borderId="0" fillId="8" fontId="11" numFmtId="0" xfId="0" applyAlignment="1" applyFont="1">
      <alignment horizontal="center" readingOrder="0"/>
    </xf>
    <xf borderId="0" fillId="8" fontId="8" numFmtId="167" xfId="0" applyAlignment="1" applyFont="1" applyNumberFormat="1">
      <alignment horizontal="center" shrinkToFit="0" vertical="bottom" wrapText="1"/>
    </xf>
    <xf borderId="0" fillId="8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/>
    </xf>
    <xf borderId="0" fillId="0" fontId="8" numFmtId="167" xfId="0" applyAlignment="1" applyFont="1" applyNumberFormat="1">
      <alignment horizontal="center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167" xfId="0" applyAlignment="1" applyFont="1" applyNumberFormat="1">
      <alignment horizontal="center"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3" numFmtId="167" xfId="0" applyAlignment="1" applyFont="1" applyNumberFormat="1">
      <alignment horizontal="center"/>
    </xf>
    <xf borderId="0" fillId="7" fontId="4" numFmtId="0" xfId="0" applyAlignment="1" applyFont="1">
      <alignment shrinkToFit="0" wrapText="1"/>
    </xf>
    <xf borderId="0" fillId="7" fontId="4" numFmtId="166" xfId="0" applyAlignment="1" applyFont="1" applyNumberFormat="1">
      <alignment shrinkToFit="0" wrapText="1"/>
    </xf>
    <xf borderId="0" fillId="7" fontId="4" numFmtId="2" xfId="0" applyAlignment="1" applyFont="1" applyNumberFormat="1">
      <alignment shrinkToFit="0" wrapText="1"/>
    </xf>
    <xf borderId="0" fillId="7" fontId="1" numFmtId="0" xfId="0" applyAlignment="1" applyFont="1">
      <alignment shrinkToFit="0" wrapText="1"/>
    </xf>
    <xf borderId="0" fillId="0" fontId="5" numFmtId="1" xfId="0" applyFont="1" applyNumberFormat="1"/>
    <xf borderId="0" fillId="0" fontId="5" numFmtId="165" xfId="0" applyFont="1" applyNumberFormat="1"/>
    <xf borderId="0" fillId="0" fontId="5" numFmtId="164" xfId="0" applyFont="1" applyNumberFormat="1"/>
    <xf borderId="0" fillId="0" fontId="5" numFmtId="2" xfId="0" applyFont="1" applyNumberFormat="1"/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3" fontId="7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75"/>
    <col customWidth="1" min="2" max="2" width="44.13"/>
    <col customWidth="1" min="3" max="3" width="46.0"/>
    <col customWidth="1" min="4" max="4" width="20.0"/>
    <col customWidth="1" min="5" max="5" width="17.5"/>
    <col customWidth="1" min="6" max="6" width="38.0"/>
    <col customWidth="1" min="7" max="7" width="14.0"/>
    <col customWidth="1" min="8" max="9" width="12.0"/>
    <col customWidth="1" min="10" max="10" width="14.0"/>
    <col customWidth="1" min="11" max="11" width="28.0"/>
    <col customWidth="1" min="12" max="26" width="8.63"/>
    <col customWidth="1" min="27" max="35" width="2.0"/>
    <col customWidth="1" min="36" max="36" width="12.0"/>
  </cols>
  <sheetData>
    <row r="1" ht="15.75" customHeight="1">
      <c r="A1" s="1" t="s">
        <v>0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5</v>
      </c>
      <c r="AF1" s="2" t="s">
        <v>6</v>
      </c>
      <c r="AG1" s="2" t="s">
        <v>7</v>
      </c>
      <c r="AH1" s="2" t="s">
        <v>8</v>
      </c>
      <c r="AI1" s="2" t="s">
        <v>9</v>
      </c>
      <c r="AJ1" s="2" t="s">
        <v>10</v>
      </c>
    </row>
    <row r="2" ht="15.75" customHeight="1">
      <c r="AA2" s="3" t="s">
        <v>11</v>
      </c>
      <c r="AB2" s="3" t="s">
        <v>12</v>
      </c>
      <c r="AC2" s="3" t="s">
        <v>13</v>
      </c>
      <c r="AD2" s="3" t="s">
        <v>14</v>
      </c>
      <c r="AE2" s="3" t="s">
        <v>15</v>
      </c>
      <c r="AF2" s="3">
        <v>4.4</v>
      </c>
      <c r="AG2" s="3" t="s">
        <v>16</v>
      </c>
      <c r="AH2" s="3" t="s">
        <v>17</v>
      </c>
      <c r="AI2" s="3" t="s">
        <v>18</v>
      </c>
      <c r="AJ2" s="3"/>
    </row>
    <row r="3" ht="15.75" customHeight="1">
      <c r="A3" s="4" t="s">
        <v>19</v>
      </c>
      <c r="B3" s="4" t="s">
        <v>20</v>
      </c>
      <c r="C3" s="4" t="s">
        <v>21</v>
      </c>
      <c r="D3" s="4" t="s">
        <v>22</v>
      </c>
      <c r="E3" s="4" t="s">
        <v>20</v>
      </c>
      <c r="F3" s="4" t="s">
        <v>21</v>
      </c>
      <c r="AA3" s="3" t="s">
        <v>23</v>
      </c>
      <c r="AB3" s="3" t="s">
        <v>24</v>
      </c>
      <c r="AC3" s="3" t="s">
        <v>25</v>
      </c>
      <c r="AD3" s="3" t="s">
        <v>26</v>
      </c>
      <c r="AE3" s="3" t="s">
        <v>15</v>
      </c>
      <c r="AF3" s="3">
        <v>14.0</v>
      </c>
      <c r="AG3" s="3" t="s">
        <v>16</v>
      </c>
      <c r="AH3" s="3" t="s">
        <v>27</v>
      </c>
      <c r="AI3" s="3" t="s">
        <v>18</v>
      </c>
      <c r="AJ3" s="3"/>
    </row>
    <row r="4" ht="15.75" customHeight="1">
      <c r="A4" s="3" t="s">
        <v>28</v>
      </c>
      <c r="B4" s="5">
        <v>100.0</v>
      </c>
      <c r="C4" s="3" t="s">
        <v>29</v>
      </c>
      <c r="D4" s="3" t="s">
        <v>30</v>
      </c>
      <c r="E4" s="6">
        <v>46556.0</v>
      </c>
      <c r="F4" s="3" t="s">
        <v>31</v>
      </c>
      <c r="AA4" s="3" t="s">
        <v>32</v>
      </c>
      <c r="AB4" s="3" t="s">
        <v>33</v>
      </c>
      <c r="AC4" s="3" t="s">
        <v>25</v>
      </c>
      <c r="AD4" s="3" t="s">
        <v>26</v>
      </c>
      <c r="AE4" s="3" t="s">
        <v>15</v>
      </c>
      <c r="AF4" s="3">
        <v>25.0</v>
      </c>
      <c r="AG4" s="3" t="s">
        <v>16</v>
      </c>
      <c r="AH4" s="3" t="s">
        <v>34</v>
      </c>
      <c r="AI4" s="3" t="s">
        <v>18</v>
      </c>
      <c r="AJ4" s="3"/>
    </row>
    <row r="5" ht="15.75" customHeight="1">
      <c r="A5" s="3" t="s">
        <v>35</v>
      </c>
      <c r="B5" s="7" t="s">
        <v>36</v>
      </c>
      <c r="C5" s="3" t="s">
        <v>37</v>
      </c>
      <c r="D5" s="3" t="s">
        <v>38</v>
      </c>
      <c r="E5" s="8">
        <f>IF($E$4="",1,MAX(1,SUMIFS(regras_reajuste_data!$G$2:$G$49,regras_reajuste_data!$C$2:$C$49,"&lt;="&amp;$E$4,regras_reajuste_data!$D$2:$D$49,"&gt;="&amp;$E$4,regras_reajuste_data!$B$2:$B$49,"ativo")))</f>
        <v>1.24</v>
      </c>
      <c r="F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15</v>
      </c>
      <c r="AF5" s="3">
        <v>55.0</v>
      </c>
      <c r="AG5" s="3" t="s">
        <v>16</v>
      </c>
      <c r="AH5" s="3" t="s">
        <v>44</v>
      </c>
      <c r="AI5" s="3" t="s">
        <v>18</v>
      </c>
      <c r="AJ5" s="3"/>
    </row>
    <row r="6" ht="15.75" customHeight="1">
      <c r="A6" s="3" t="s">
        <v>45</v>
      </c>
      <c r="B6" s="9" t="s">
        <v>46</v>
      </c>
      <c r="C6" s="3" t="s">
        <v>47</v>
      </c>
      <c r="D6" s="3" t="s">
        <v>48</v>
      </c>
      <c r="E6" s="10">
        <f>IF($E$4="",0,SUMIFS(regras_reajuste_data!$H$2:$H$49,regras_reajuste_data!$C$2:$C$49,"&lt;="&amp;$E$4,regras_reajuste_data!$D$2:$D$49,"&gt;="&amp;$E$4,regras_reajuste_data!$B$2:$B$49,"ativo"))</f>
        <v>0</v>
      </c>
      <c r="F6" s="3" t="s">
        <v>39</v>
      </c>
      <c r="AA6" s="3" t="s">
        <v>49</v>
      </c>
      <c r="AB6" s="3" t="s">
        <v>50</v>
      </c>
      <c r="AC6" s="3" t="s">
        <v>42</v>
      </c>
      <c r="AD6" s="3" t="s">
        <v>43</v>
      </c>
      <c r="AE6" s="3" t="s">
        <v>15</v>
      </c>
      <c r="AF6" s="3">
        <v>80.0</v>
      </c>
      <c r="AG6" s="3" t="s">
        <v>16</v>
      </c>
      <c r="AH6" s="3" t="s">
        <v>51</v>
      </c>
      <c r="AI6" s="3" t="s">
        <v>18</v>
      </c>
      <c r="AJ6" s="3"/>
    </row>
    <row r="7" ht="15.75" customHeight="1">
      <c r="A7" s="3" t="s">
        <v>52</v>
      </c>
      <c r="B7" s="11">
        <v>0.0</v>
      </c>
      <c r="C7" s="3" t="s">
        <v>53</v>
      </c>
      <c r="D7" s="3" t="s">
        <v>54</v>
      </c>
      <c r="E7" s="10">
        <f>IFERROR(LOOKUP($B$4,regras_equipe!$C$2:$C$50,regras_equipe!$I$2:$I$50),0)</f>
        <v>0</v>
      </c>
      <c r="F7" s="3" t="s">
        <v>55</v>
      </c>
      <c r="AA7" s="3" t="s">
        <v>56</v>
      </c>
      <c r="AB7" s="3" t="s">
        <v>57</v>
      </c>
      <c r="AC7" s="3" t="s">
        <v>42</v>
      </c>
      <c r="AD7" s="3" t="s">
        <v>43</v>
      </c>
      <c r="AE7" s="3" t="s">
        <v>15</v>
      </c>
      <c r="AF7" s="3">
        <v>50.0</v>
      </c>
      <c r="AG7" s="3" t="s">
        <v>16</v>
      </c>
      <c r="AH7" s="3" t="s">
        <v>58</v>
      </c>
      <c r="AI7" s="3" t="s">
        <v>18</v>
      </c>
      <c r="AJ7" s="3"/>
    </row>
    <row r="8" ht="15.75" customHeight="1">
      <c r="A8" s="3" t="s">
        <v>59</v>
      </c>
      <c r="B8" s="12">
        <v>0.0</v>
      </c>
      <c r="C8" s="3" t="s">
        <v>53</v>
      </c>
      <c r="D8" s="3" t="s">
        <v>60</v>
      </c>
      <c r="E8" s="10">
        <f>$B$14*$E$5</f>
        <v>25916</v>
      </c>
      <c r="F8" s="3" t="s">
        <v>61</v>
      </c>
      <c r="AA8" s="3" t="s">
        <v>62</v>
      </c>
      <c r="AB8" s="3" t="s">
        <v>63</v>
      </c>
      <c r="AC8" s="3" t="s">
        <v>42</v>
      </c>
      <c r="AD8" s="3" t="s">
        <v>43</v>
      </c>
      <c r="AE8" s="3" t="s">
        <v>15</v>
      </c>
      <c r="AF8" s="3">
        <v>55.0</v>
      </c>
      <c r="AG8" s="3" t="s">
        <v>16</v>
      </c>
      <c r="AH8" s="3" t="s">
        <v>64</v>
      </c>
      <c r="AI8" s="3" t="s">
        <v>18</v>
      </c>
      <c r="AJ8" s="3"/>
    </row>
    <row r="9" ht="15.75" customHeight="1">
      <c r="A9" s="3" t="s">
        <v>65</v>
      </c>
      <c r="B9" s="12">
        <v>0.0</v>
      </c>
      <c r="C9" s="3" t="s">
        <v>66</v>
      </c>
      <c r="D9" s="3" t="s">
        <v>67</v>
      </c>
      <c r="E9" s="10">
        <f>IF($B$18="SIM",$B$16+$B$17+$E$7+$B$9,"")</f>
        <v>22900</v>
      </c>
      <c r="F9" s="3" t="s">
        <v>68</v>
      </c>
      <c r="AA9" s="3" t="s">
        <v>69</v>
      </c>
      <c r="AB9" s="3" t="s">
        <v>70</v>
      </c>
      <c r="AC9" s="3" t="s">
        <v>42</v>
      </c>
      <c r="AD9" s="3" t="s">
        <v>43</v>
      </c>
      <c r="AE9" s="3" t="s">
        <v>15</v>
      </c>
      <c r="AF9" s="3">
        <v>35.0</v>
      </c>
      <c r="AG9" s="3" t="s">
        <v>16</v>
      </c>
      <c r="AH9" s="3" t="s">
        <v>71</v>
      </c>
      <c r="AI9" s="3" t="s">
        <v>18</v>
      </c>
      <c r="AJ9" s="3"/>
    </row>
    <row r="10" ht="15.75" customHeight="1">
      <c r="A10" s="3" t="s">
        <v>72</v>
      </c>
      <c r="B10" s="12">
        <v>0.0</v>
      </c>
      <c r="C10" s="3" t="s">
        <v>73</v>
      </c>
      <c r="D10" s="3" t="s">
        <v>74</v>
      </c>
      <c r="E10" s="10">
        <f>IF($B$18="SIM",$E$9*$E$5+$E$6,"")</f>
        <v>28396</v>
      </c>
      <c r="F10" s="3" t="s">
        <v>75</v>
      </c>
      <c r="AA10" s="3" t="s">
        <v>76</v>
      </c>
      <c r="AB10" s="3" t="s">
        <v>77</v>
      </c>
      <c r="AC10" s="3" t="s">
        <v>42</v>
      </c>
      <c r="AD10" s="3" t="s">
        <v>43</v>
      </c>
      <c r="AE10" s="3" t="s">
        <v>15</v>
      </c>
      <c r="AF10" s="3">
        <v>35.0</v>
      </c>
      <c r="AG10" s="3" t="s">
        <v>16</v>
      </c>
      <c r="AH10" s="3" t="s">
        <v>78</v>
      </c>
      <c r="AI10" s="3" t="s">
        <v>18</v>
      </c>
      <c r="AJ10" s="3"/>
    </row>
    <row r="11" ht="15.75" customHeight="1">
      <c r="A11" s="3" t="s">
        <v>79</v>
      </c>
      <c r="B11" s="13">
        <f>IFERROR(VLOOKUP($E$16,regras_periodo!$A$2:$M$9,8,FALSE),0)</f>
        <v>12330</v>
      </c>
      <c r="C11" s="3" t="s">
        <v>80</v>
      </c>
      <c r="D11" s="3" t="s">
        <v>81</v>
      </c>
      <c r="E11" s="10">
        <f>IF($B$18="SIM",$E$10-$B$20,"")</f>
        <v>28396</v>
      </c>
      <c r="F11" s="3" t="s">
        <v>82</v>
      </c>
      <c r="AA11" s="3" t="s">
        <v>83</v>
      </c>
      <c r="AB11" s="3" t="s">
        <v>84</v>
      </c>
      <c r="AC11" s="3" t="s">
        <v>42</v>
      </c>
      <c r="AD11" s="3" t="s">
        <v>43</v>
      </c>
      <c r="AE11" s="3" t="s">
        <v>15</v>
      </c>
      <c r="AF11" s="3">
        <v>33.0</v>
      </c>
      <c r="AG11" s="3" t="s">
        <v>16</v>
      </c>
      <c r="AH11" s="3" t="s">
        <v>85</v>
      </c>
      <c r="AI11" s="3" t="s">
        <v>18</v>
      </c>
      <c r="AJ11" s="3"/>
    </row>
    <row r="12" ht="15.75" customHeight="1">
      <c r="A12" s="3" t="s">
        <v>86</v>
      </c>
      <c r="B12" s="13">
        <f>IFERROR(VLOOKUP($E$16,regras_periodo!$A$2:$M$9,9,FALSE),1)</f>
        <v>1</v>
      </c>
      <c r="C12" s="3" t="s">
        <v>80</v>
      </c>
      <c r="D12" s="3" t="s">
        <v>87</v>
      </c>
      <c r="E12" s="14" t="str">
        <f>IFERROR(LOOKUP($B$4,regras_equipe!$C$2:$C$50,regras_equipe!$E$2:$E$50),"")</f>
        <v>Equipe base</v>
      </c>
      <c r="F12" s="3" t="s">
        <v>88</v>
      </c>
      <c r="AA12" s="3" t="s">
        <v>89</v>
      </c>
      <c r="AB12" s="3" t="s">
        <v>90</v>
      </c>
      <c r="AC12" s="3" t="s">
        <v>42</v>
      </c>
      <c r="AD12" s="3" t="s">
        <v>43</v>
      </c>
      <c r="AE12" s="3" t="s">
        <v>15</v>
      </c>
      <c r="AF12" s="3">
        <v>30.0</v>
      </c>
      <c r="AG12" s="3" t="s">
        <v>16</v>
      </c>
      <c r="AH12" s="3" t="s">
        <v>91</v>
      </c>
      <c r="AI12" s="3" t="s">
        <v>18</v>
      </c>
      <c r="AJ12" s="3"/>
    </row>
    <row r="13" ht="15.75" customHeight="1">
      <c r="A13" s="3" t="s">
        <v>92</v>
      </c>
      <c r="B13" s="13">
        <f>IFERROR(VLOOKUP($E$16,regras_periodo!$A$2:$M$9,10,FALSE),0)</f>
        <v>0</v>
      </c>
      <c r="C13" s="3" t="s">
        <v>80</v>
      </c>
      <c r="D13" s="3" t="s">
        <v>93</v>
      </c>
      <c r="E13" s="14" t="str">
        <f t="array" ref="E13">IF($E$4="","",IFERROR(INDEX(regras_reajuste_data!$E$2:$E$49,MATCH(1,($E$4&gt;=regras_reajuste_data!$C$2:$C$49)*($E$4&lt;=regras_reajuste_data!$D$2:$D$49)*(regras_reajuste_data!$B$2:$B$49="ativo"),0)),"sem regra"))</f>
        <v>1º semestre</v>
      </c>
      <c r="F13" s="3" t="s">
        <v>94</v>
      </c>
      <c r="AA13" s="3" t="s">
        <v>95</v>
      </c>
      <c r="AB13" s="3" t="s">
        <v>96</v>
      </c>
      <c r="AC13" s="3" t="s">
        <v>42</v>
      </c>
      <c r="AD13" s="3" t="s">
        <v>43</v>
      </c>
      <c r="AE13" s="3" t="s">
        <v>15</v>
      </c>
      <c r="AF13" s="3">
        <v>30.0</v>
      </c>
      <c r="AG13" s="3" t="s">
        <v>16</v>
      </c>
      <c r="AH13" s="3" t="s">
        <v>97</v>
      </c>
      <c r="AI13" s="3" t="s">
        <v>18</v>
      </c>
      <c r="AJ13" s="3"/>
    </row>
    <row r="14" ht="15.75" customHeight="1">
      <c r="A14" s="3" t="s">
        <v>98</v>
      </c>
      <c r="B14" s="13">
        <f>IFERROR(VLOOKUP($E$16,regras_periodo!$A$2:$M$9,11,FALSE),0)</f>
        <v>20900</v>
      </c>
      <c r="C14" s="3" t="s">
        <v>80</v>
      </c>
      <c r="D14" s="15" t="s">
        <v>99</v>
      </c>
      <c r="E14" s="15" t="str">
        <f>IF($E$4="","",CHOOSE(WEEKDAY($E$4,2),"segunda-feira","terça-feira","quarta-feira","quinta-feira","sexta-feira","sábado","domingo"))</f>
        <v>sexta-feira</v>
      </c>
      <c r="F14" s="16" t="s">
        <v>100</v>
      </c>
      <c r="AA14" s="3" t="s">
        <v>101</v>
      </c>
      <c r="AB14" s="3" t="s">
        <v>102</v>
      </c>
      <c r="AC14" s="3" t="s">
        <v>42</v>
      </c>
      <c r="AD14" s="3" t="s">
        <v>43</v>
      </c>
      <c r="AE14" s="3" t="s">
        <v>15</v>
      </c>
      <c r="AF14" s="3">
        <v>80.0</v>
      </c>
      <c r="AG14" s="3" t="s">
        <v>16</v>
      </c>
      <c r="AH14" s="3" t="s">
        <v>103</v>
      </c>
      <c r="AI14" s="3" t="s">
        <v>18</v>
      </c>
      <c r="AJ14" s="3"/>
    </row>
    <row r="15" ht="15.75" customHeight="1">
      <c r="A15" s="3" t="s">
        <v>104</v>
      </c>
      <c r="B15" s="13">
        <f>SUM(base_inclusa!$E$2:$E$9)+$B$10</f>
        <v>55.7</v>
      </c>
      <c r="C15" s="3" t="s">
        <v>105</v>
      </c>
      <c r="D15" s="15" t="s">
        <v>106</v>
      </c>
      <c r="E15" s="15" t="str">
        <f>IFERROR(VLOOKUP($B$5,regras_periodo!$A$2:$M$9,5,FALSE),"manhã")</f>
        <v>noite</v>
      </c>
      <c r="F15" s="16" t="s">
        <v>107</v>
      </c>
      <c r="AA15" s="3" t="s">
        <v>108</v>
      </c>
      <c r="AB15" s="3" t="s">
        <v>109</v>
      </c>
      <c r="AC15" s="3" t="s">
        <v>42</v>
      </c>
      <c r="AD15" s="3" t="s">
        <v>43</v>
      </c>
      <c r="AE15" s="3" t="s">
        <v>15</v>
      </c>
      <c r="AF15" s="3">
        <v>40.0</v>
      </c>
      <c r="AG15" s="3" t="s">
        <v>16</v>
      </c>
      <c r="AH15" s="3" t="s">
        <v>110</v>
      </c>
      <c r="AI15" s="3" t="s">
        <v>18</v>
      </c>
      <c r="AJ15" s="3"/>
    </row>
    <row r="16" ht="15.75" customHeight="1">
      <c r="A16" s="3" t="s">
        <v>111</v>
      </c>
      <c r="B16" s="13">
        <f>($B$11*$B$12)+$B$13+(($B$15)*$B$4)+IF($B$6="SIM",IFERROR(VLOOKUP($E$16,regras_periodo!$A$2:$M$9,12,FALSE),0),0)</f>
        <v>17900</v>
      </c>
      <c r="C16" s="3" t="s">
        <v>112</v>
      </c>
      <c r="D16" s="15" t="s">
        <v>113</v>
      </c>
      <c r="E16" s="15" t="str">
        <f t="array" ref="E16">IF(OR($E$4="",$E$15=""),$B$5,LET(_diaCom,IFERROR(VLOOKUP($E$4,feriados!$A:$G,6,FALSE),CHOOSE(WEEKDAY($E$4,2),"segunda-quinta","segunda-quinta","segunda-quinta","segunda-quinta","sexta","sábado","domingo")),_diaCom2,IF(_diaCom="sabado","sábado",_diaCom),XLOOKUP(_diaCom2&amp;"|"&amp;$E$15&amp;"|ativo",regras_periodo!$N$2:$N$9,regras_periodo!$A$2:$A$9,$B$5,0)))</f>
        <v>REG-004</v>
      </c>
      <c r="F16" s="16" t="s">
        <v>114</v>
      </c>
      <c r="AA16" s="3" t="s">
        <v>115</v>
      </c>
      <c r="AB16" s="3" t="s">
        <v>116</v>
      </c>
      <c r="AC16" s="3" t="s">
        <v>42</v>
      </c>
      <c r="AD16" s="3" t="s">
        <v>43</v>
      </c>
      <c r="AE16" s="3" t="s">
        <v>15</v>
      </c>
      <c r="AF16" s="3">
        <v>40.0</v>
      </c>
      <c r="AG16" s="3" t="s">
        <v>16</v>
      </c>
      <c r="AH16" s="3" t="s">
        <v>117</v>
      </c>
      <c r="AI16" s="3" t="s">
        <v>18</v>
      </c>
      <c r="AJ16" s="3"/>
    </row>
    <row r="17" ht="15.75" customHeight="1">
      <c r="A17" s="3" t="s">
        <v>118</v>
      </c>
      <c r="B17" s="13">
        <f>SUM(J26:J65)</f>
        <v>5000</v>
      </c>
      <c r="C17" s="3" t="s">
        <v>119</v>
      </c>
      <c r="AA17" s="3" t="s">
        <v>120</v>
      </c>
      <c r="AB17" s="3" t="s">
        <v>121</v>
      </c>
      <c r="AC17" s="3" t="s">
        <v>42</v>
      </c>
      <c r="AD17" s="3" t="s">
        <v>43</v>
      </c>
      <c r="AE17" s="3" t="s">
        <v>15</v>
      </c>
      <c r="AF17" s="3">
        <v>60.0</v>
      </c>
      <c r="AG17" s="3" t="s">
        <v>16</v>
      </c>
      <c r="AH17" s="3" t="s">
        <v>122</v>
      </c>
      <c r="AI17" s="3" t="s">
        <v>18</v>
      </c>
      <c r="AJ17" s="3"/>
    </row>
    <row r="18" ht="15.75" customHeight="1">
      <c r="A18" s="3" t="s">
        <v>123</v>
      </c>
      <c r="B18" s="17" t="str">
        <f>IF(COUNTIF($E$26:$E$65,"prato_principal")&gt;0,"SIM","NÃO")</f>
        <v>SIM</v>
      </c>
      <c r="C18" s="3" t="s">
        <v>124</v>
      </c>
      <c r="AA18" s="3" t="s">
        <v>125</v>
      </c>
      <c r="AB18" s="3" t="s">
        <v>126</v>
      </c>
      <c r="AC18" s="3" t="s">
        <v>42</v>
      </c>
      <c r="AD18" s="3" t="s">
        <v>43</v>
      </c>
      <c r="AE18" s="3" t="s">
        <v>15</v>
      </c>
      <c r="AF18" s="3">
        <v>50.0</v>
      </c>
      <c r="AG18" s="3" t="s">
        <v>16</v>
      </c>
      <c r="AH18" s="3" t="s">
        <v>127</v>
      </c>
      <c r="AI18" s="3" t="s">
        <v>18</v>
      </c>
      <c r="AJ18" s="3"/>
    </row>
    <row r="19" ht="15.75" customHeight="1">
      <c r="A19" s="3" t="s">
        <v>67</v>
      </c>
      <c r="B19" s="13">
        <f>IF($B$18="SIM",$B$16+$B$17+$E$7+$B$9,"")</f>
        <v>22900</v>
      </c>
      <c r="C19" s="3" t="s">
        <v>128</v>
      </c>
      <c r="AA19" s="3" t="s">
        <v>129</v>
      </c>
      <c r="AB19" s="3" t="s">
        <v>130</v>
      </c>
      <c r="AC19" s="3" t="s">
        <v>42</v>
      </c>
      <c r="AD19" s="3" t="s">
        <v>14</v>
      </c>
      <c r="AE19" s="3" t="s">
        <v>15</v>
      </c>
      <c r="AF19" s="3">
        <v>6.0</v>
      </c>
      <c r="AG19" s="3" t="s">
        <v>16</v>
      </c>
      <c r="AH19" s="3" t="s">
        <v>131</v>
      </c>
      <c r="AI19" s="3" t="s">
        <v>18</v>
      </c>
      <c r="AJ19" s="3"/>
    </row>
    <row r="20" ht="15.75" customHeight="1">
      <c r="A20" s="3" t="s">
        <v>132</v>
      </c>
      <c r="B20" s="13">
        <f>IF($B$18="SIM",($E$10*$B$7)+$B$8,"")</f>
        <v>0</v>
      </c>
      <c r="C20" s="3" t="s">
        <v>133</v>
      </c>
      <c r="AA20" s="3" t="s">
        <v>134</v>
      </c>
      <c r="AB20" s="3" t="s">
        <v>135</v>
      </c>
      <c r="AC20" s="3" t="s">
        <v>42</v>
      </c>
      <c r="AD20" s="3" t="s">
        <v>14</v>
      </c>
      <c r="AE20" s="3" t="s">
        <v>15</v>
      </c>
      <c r="AF20" s="3">
        <v>3.0</v>
      </c>
      <c r="AG20" s="3" t="s">
        <v>16</v>
      </c>
      <c r="AH20" s="3" t="s">
        <v>136</v>
      </c>
      <c r="AI20" s="3" t="s">
        <v>18</v>
      </c>
      <c r="AJ20" s="3"/>
    </row>
    <row r="21" ht="15.75" customHeight="1">
      <c r="A21" s="3" t="s">
        <v>137</v>
      </c>
      <c r="B21" s="13">
        <f>IF($B$18="SIM",$E$10-$B$20,"")</f>
        <v>28396</v>
      </c>
      <c r="C21" s="3" t="s">
        <v>138</v>
      </c>
      <c r="AA21" s="3" t="s">
        <v>139</v>
      </c>
      <c r="AB21" s="3" t="s">
        <v>140</v>
      </c>
      <c r="AC21" s="3" t="s">
        <v>42</v>
      </c>
      <c r="AD21" s="3" t="s">
        <v>14</v>
      </c>
      <c r="AE21" s="3" t="s">
        <v>15</v>
      </c>
      <c r="AF21" s="3">
        <v>5.0</v>
      </c>
      <c r="AG21" s="3" t="s">
        <v>16</v>
      </c>
      <c r="AH21" s="3" t="s">
        <v>141</v>
      </c>
      <c r="AI21" s="3" t="s">
        <v>18</v>
      </c>
      <c r="AJ21" s="3"/>
    </row>
    <row r="22" ht="15.75" customHeight="1">
      <c r="A22" s="18" t="s">
        <v>142</v>
      </c>
      <c r="B22" s="19">
        <f>IF($B$18&lt;&gt;"SIM","",MAX($B$21,$E$8))</f>
        <v>28396</v>
      </c>
      <c r="C22" s="3" t="s">
        <v>143</v>
      </c>
      <c r="AA22" s="3" t="s">
        <v>144</v>
      </c>
      <c r="AB22" s="3" t="s">
        <v>145</v>
      </c>
      <c r="AC22" s="3" t="s">
        <v>42</v>
      </c>
      <c r="AD22" s="3" t="s">
        <v>14</v>
      </c>
      <c r="AE22" s="3" t="s">
        <v>15</v>
      </c>
      <c r="AF22" s="3">
        <v>10.0</v>
      </c>
      <c r="AG22" s="3" t="s">
        <v>16</v>
      </c>
      <c r="AH22" s="3" t="s">
        <v>146</v>
      </c>
      <c r="AI22" s="3" t="s">
        <v>18</v>
      </c>
      <c r="AJ22" s="3"/>
    </row>
    <row r="23" ht="15.75" customHeight="1">
      <c r="A23" s="3" t="s">
        <v>147</v>
      </c>
      <c r="B23" s="20" t="str">
        <f>IF($B$18&lt;&gt;"SIM","Selecione pelo menos 1 prato principal para visualizar o total final.","OK")</f>
        <v>OK</v>
      </c>
      <c r="AA23" s="3" t="s">
        <v>148</v>
      </c>
      <c r="AB23" s="3" t="s">
        <v>149</v>
      </c>
      <c r="AC23" s="3" t="s">
        <v>150</v>
      </c>
      <c r="AD23" s="3" t="s">
        <v>14</v>
      </c>
      <c r="AE23" s="3" t="s">
        <v>15</v>
      </c>
      <c r="AF23" s="3">
        <v>40.0</v>
      </c>
      <c r="AG23" s="3" t="s">
        <v>16</v>
      </c>
      <c r="AH23" s="3" t="s">
        <v>151</v>
      </c>
      <c r="AI23" s="3" t="s">
        <v>18</v>
      </c>
      <c r="AJ23" s="3"/>
    </row>
    <row r="24" ht="15.75" customHeight="1">
      <c r="AA24" s="3" t="s">
        <v>152</v>
      </c>
      <c r="AB24" s="3" t="s">
        <v>153</v>
      </c>
      <c r="AC24" s="3" t="s">
        <v>150</v>
      </c>
      <c r="AD24" s="3" t="s">
        <v>14</v>
      </c>
      <c r="AE24" s="3" t="s">
        <v>15</v>
      </c>
      <c r="AF24" s="3">
        <v>45.0</v>
      </c>
      <c r="AG24" s="3" t="s">
        <v>16</v>
      </c>
      <c r="AH24" s="3" t="s">
        <v>154</v>
      </c>
      <c r="AI24" s="3" t="s">
        <v>18</v>
      </c>
      <c r="AJ24" s="3"/>
    </row>
    <row r="25" ht="15.75" customHeight="1">
      <c r="A25" s="21" t="s">
        <v>155</v>
      </c>
      <c r="B25" s="21" t="s">
        <v>156</v>
      </c>
      <c r="C25" s="21" t="s">
        <v>157</v>
      </c>
      <c r="D25" s="21" t="s">
        <v>158</v>
      </c>
      <c r="E25" s="21" t="s">
        <v>159</v>
      </c>
      <c r="F25" s="21" t="s">
        <v>160</v>
      </c>
      <c r="G25" s="21" t="s">
        <v>161</v>
      </c>
      <c r="H25" s="21" t="s">
        <v>162</v>
      </c>
      <c r="I25" s="21" t="s">
        <v>163</v>
      </c>
      <c r="J25" s="21" t="s">
        <v>164</v>
      </c>
      <c r="K25" s="21" t="s">
        <v>21</v>
      </c>
      <c r="L25" s="16" t="s">
        <v>165</v>
      </c>
      <c r="AA25" s="3" t="s">
        <v>166</v>
      </c>
      <c r="AB25" s="3" t="s">
        <v>167</v>
      </c>
      <c r="AC25" s="3" t="s">
        <v>150</v>
      </c>
      <c r="AD25" s="3" t="s">
        <v>14</v>
      </c>
      <c r="AE25" s="3" t="s">
        <v>15</v>
      </c>
      <c r="AF25" s="3">
        <v>60.0</v>
      </c>
      <c r="AG25" s="3" t="s">
        <v>16</v>
      </c>
      <c r="AH25" s="3" t="s">
        <v>168</v>
      </c>
      <c r="AI25" s="3" t="s">
        <v>18</v>
      </c>
      <c r="AJ25" s="3"/>
    </row>
    <row r="26" ht="15.75" customHeight="1">
      <c r="A26" s="22">
        <v>1.0</v>
      </c>
      <c r="B26" s="23" t="s">
        <v>56</v>
      </c>
      <c r="C26" s="22" t="str">
        <f t="shared" ref="C26:C65" si="1">IFERROR(INDEX($AB$2:$AB$200,MATCH($B26,$AA$2:$AA$200,0)),"")</f>
        <v>MD-009</v>
      </c>
      <c r="D26" s="22" t="str">
        <f t="shared" ref="D26:D65" si="2">IFERROR(INDEX($AC$2:$AC$200,MATCH($B26,$AA$2:$AA$200,0)),"")</f>
        <v>Sabores Principais</v>
      </c>
      <c r="E26" s="22" t="str">
        <f t="shared" ref="E26:E65" si="3">IFERROR(INDEX($AD$2:$AD$200,MATCH($B26,$AA$2:$AA$200,0)),"")</f>
        <v>prato_principal</v>
      </c>
      <c r="F26" s="22" t="str">
        <f t="shared" ref="F26:F65" si="4">IFERROR(INDEX($AE$2:$AE$200,MATCH($B26,$AA$2:$AA$200,0)),"")</f>
        <v>por pessoa</v>
      </c>
      <c r="G26" s="24">
        <f t="shared" ref="G26:G65" si="5">IFERROR(INDEX($AF$2:$AF$200,MATCH($B26,$AA$2:$AA$200,0)),0)</f>
        <v>50</v>
      </c>
      <c r="H26" s="25"/>
      <c r="I26" s="26">
        <f t="shared" ref="I26:I65" si="6">IF($B26="","",IF($F26="por pessoa",$B$4,IF($F26="por evento",1,IF($H26&lt;&gt;"",$H26,1))))</f>
        <v>100</v>
      </c>
      <c r="J26" s="24">
        <f t="shared" ref="J26:J65" si="7">IF($B26="","",$G26*$I26)</f>
        <v>5000</v>
      </c>
      <c r="K26" s="22" t="str">
        <f t="shared" ref="K26:K65" si="8">IF($B26="","",IF(OR($F26="por garrafa",$F26="por litro/barril"),"Preencha a qtd manual se for mais de 1.",""))</f>
        <v/>
      </c>
      <c r="L26" s="16" t="str">
        <f t="shared" ref="L26:L65" si="9">IF($B26="","",IFERROR(INDEX($AJ$2:$AJ$200,MATCH($B26,$AA$2:$AA$200,0)),"NÃO"))</f>
        <v/>
      </c>
      <c r="AA26" s="3" t="s">
        <v>169</v>
      </c>
      <c r="AB26" s="3" t="s">
        <v>170</v>
      </c>
      <c r="AC26" s="3" t="s">
        <v>150</v>
      </c>
      <c r="AD26" s="3" t="s">
        <v>14</v>
      </c>
      <c r="AE26" s="3" t="s">
        <v>15</v>
      </c>
      <c r="AF26" s="3">
        <v>110.0</v>
      </c>
      <c r="AG26" s="3" t="s">
        <v>16</v>
      </c>
      <c r="AH26" s="3" t="s">
        <v>171</v>
      </c>
      <c r="AI26" s="3" t="s">
        <v>18</v>
      </c>
      <c r="AJ26" s="3"/>
    </row>
    <row r="27" ht="15.75" customHeight="1">
      <c r="A27" s="22">
        <v>2.0</v>
      </c>
      <c r="B27" s="23"/>
      <c r="C27" s="22" t="str">
        <f t="shared" si="1"/>
        <v/>
      </c>
      <c r="D27" s="22" t="str">
        <f t="shared" si="2"/>
        <v/>
      </c>
      <c r="E27" s="22" t="str">
        <f t="shared" si="3"/>
        <v/>
      </c>
      <c r="F27" s="22" t="str">
        <f t="shared" si="4"/>
        <v/>
      </c>
      <c r="G27" s="24">
        <f t="shared" si="5"/>
        <v>0</v>
      </c>
      <c r="H27" s="25"/>
      <c r="I27" s="26" t="str">
        <f t="shared" si="6"/>
        <v/>
      </c>
      <c r="J27" s="24" t="str">
        <f t="shared" si="7"/>
        <v/>
      </c>
      <c r="K27" s="22" t="str">
        <f t="shared" si="8"/>
        <v/>
      </c>
      <c r="L27" s="16" t="str">
        <f t="shared" si="9"/>
        <v/>
      </c>
      <c r="AA27" s="3" t="s">
        <v>172</v>
      </c>
      <c r="AB27" s="3" t="s">
        <v>173</v>
      </c>
      <c r="AC27" s="3" t="s">
        <v>150</v>
      </c>
      <c r="AD27" s="3" t="s">
        <v>174</v>
      </c>
      <c r="AE27" s="3" t="s">
        <v>15</v>
      </c>
      <c r="AF27" s="3">
        <v>0.0</v>
      </c>
      <c r="AG27" s="3" t="s">
        <v>16</v>
      </c>
      <c r="AH27" s="3" t="s">
        <v>175</v>
      </c>
      <c r="AI27" s="3" t="s">
        <v>18</v>
      </c>
      <c r="AJ27" s="3"/>
    </row>
    <row r="28" ht="15.75" customHeight="1">
      <c r="A28" s="22">
        <v>3.0</v>
      </c>
      <c r="B28" s="23"/>
      <c r="C28" s="22" t="str">
        <f t="shared" si="1"/>
        <v/>
      </c>
      <c r="D28" s="22" t="str">
        <f t="shared" si="2"/>
        <v/>
      </c>
      <c r="E28" s="22" t="str">
        <f t="shared" si="3"/>
        <v/>
      </c>
      <c r="F28" s="22" t="str">
        <f t="shared" si="4"/>
        <v/>
      </c>
      <c r="G28" s="24">
        <f t="shared" si="5"/>
        <v>0</v>
      </c>
      <c r="H28" s="25"/>
      <c r="I28" s="26" t="str">
        <f t="shared" si="6"/>
        <v/>
      </c>
      <c r="J28" s="24" t="str">
        <f t="shared" si="7"/>
        <v/>
      </c>
      <c r="K28" s="22" t="str">
        <f t="shared" si="8"/>
        <v/>
      </c>
      <c r="L28" s="16" t="str">
        <f t="shared" si="9"/>
        <v/>
      </c>
      <c r="AA28" s="3" t="s">
        <v>176</v>
      </c>
      <c r="AB28" s="3" t="s">
        <v>177</v>
      </c>
      <c r="AC28" s="3" t="s">
        <v>150</v>
      </c>
      <c r="AD28" s="3" t="s">
        <v>174</v>
      </c>
      <c r="AE28" s="3" t="s">
        <v>15</v>
      </c>
      <c r="AF28" s="3">
        <v>0.0</v>
      </c>
      <c r="AG28" s="3" t="s">
        <v>16</v>
      </c>
      <c r="AH28" s="3" t="s">
        <v>178</v>
      </c>
      <c r="AI28" s="3" t="s">
        <v>18</v>
      </c>
      <c r="AJ28" s="3"/>
    </row>
    <row r="29" ht="15.75" customHeight="1">
      <c r="A29" s="22">
        <v>4.0</v>
      </c>
      <c r="B29" s="23"/>
      <c r="C29" s="22" t="str">
        <f t="shared" si="1"/>
        <v/>
      </c>
      <c r="D29" s="22" t="str">
        <f t="shared" si="2"/>
        <v/>
      </c>
      <c r="E29" s="22" t="str">
        <f t="shared" si="3"/>
        <v/>
      </c>
      <c r="F29" s="22" t="str">
        <f t="shared" si="4"/>
        <v/>
      </c>
      <c r="G29" s="24">
        <f t="shared" si="5"/>
        <v>0</v>
      </c>
      <c r="H29" s="25"/>
      <c r="I29" s="26" t="str">
        <f t="shared" si="6"/>
        <v/>
      </c>
      <c r="J29" s="24" t="str">
        <f t="shared" si="7"/>
        <v/>
      </c>
      <c r="K29" s="22" t="str">
        <f t="shared" si="8"/>
        <v/>
      </c>
      <c r="L29" s="16" t="str">
        <f t="shared" si="9"/>
        <v/>
      </c>
      <c r="AA29" s="3" t="s">
        <v>179</v>
      </c>
      <c r="AB29" s="3" t="s">
        <v>180</v>
      </c>
      <c r="AC29" s="3" t="s">
        <v>150</v>
      </c>
      <c r="AD29" s="3" t="s">
        <v>174</v>
      </c>
      <c r="AE29" s="3" t="s">
        <v>15</v>
      </c>
      <c r="AF29" s="3">
        <v>0.0</v>
      </c>
      <c r="AG29" s="3" t="s">
        <v>16</v>
      </c>
      <c r="AH29" s="3" t="s">
        <v>181</v>
      </c>
      <c r="AI29" s="3" t="s">
        <v>18</v>
      </c>
      <c r="AJ29" s="3"/>
    </row>
    <row r="30" ht="15.75" customHeight="1">
      <c r="A30" s="22">
        <v>5.0</v>
      </c>
      <c r="B30" s="27"/>
      <c r="C30" s="22" t="str">
        <f t="shared" si="1"/>
        <v/>
      </c>
      <c r="D30" s="22" t="str">
        <f t="shared" si="2"/>
        <v/>
      </c>
      <c r="E30" s="22" t="str">
        <f t="shared" si="3"/>
        <v/>
      </c>
      <c r="F30" s="22" t="str">
        <f t="shared" si="4"/>
        <v/>
      </c>
      <c r="G30" s="24">
        <f t="shared" si="5"/>
        <v>0</v>
      </c>
      <c r="H30" s="25"/>
      <c r="I30" s="26" t="str">
        <f t="shared" si="6"/>
        <v/>
      </c>
      <c r="J30" s="24" t="str">
        <f t="shared" si="7"/>
        <v/>
      </c>
      <c r="K30" s="22" t="str">
        <f t="shared" si="8"/>
        <v/>
      </c>
      <c r="L30" s="16" t="str">
        <f t="shared" si="9"/>
        <v/>
      </c>
      <c r="AA30" s="3" t="s">
        <v>182</v>
      </c>
      <c r="AB30" s="3" t="s">
        <v>183</v>
      </c>
      <c r="AC30" s="3" t="s">
        <v>150</v>
      </c>
      <c r="AD30" s="3" t="s">
        <v>174</v>
      </c>
      <c r="AE30" s="3" t="s">
        <v>15</v>
      </c>
      <c r="AF30" s="3">
        <v>0.0</v>
      </c>
      <c r="AG30" s="3" t="s">
        <v>16</v>
      </c>
      <c r="AH30" s="3" t="s">
        <v>184</v>
      </c>
      <c r="AI30" s="3" t="s">
        <v>18</v>
      </c>
      <c r="AJ30" s="3"/>
    </row>
    <row r="31" ht="15.75" customHeight="1">
      <c r="A31" s="22">
        <v>6.0</v>
      </c>
      <c r="B31" s="27"/>
      <c r="C31" s="22" t="str">
        <f t="shared" si="1"/>
        <v/>
      </c>
      <c r="D31" s="22" t="str">
        <f t="shared" si="2"/>
        <v/>
      </c>
      <c r="E31" s="22" t="str">
        <f t="shared" si="3"/>
        <v/>
      </c>
      <c r="F31" s="22" t="str">
        <f t="shared" si="4"/>
        <v/>
      </c>
      <c r="G31" s="24">
        <f t="shared" si="5"/>
        <v>0</v>
      </c>
      <c r="H31" s="25"/>
      <c r="I31" s="26" t="str">
        <f t="shared" si="6"/>
        <v/>
      </c>
      <c r="J31" s="24" t="str">
        <f t="shared" si="7"/>
        <v/>
      </c>
      <c r="K31" s="22" t="str">
        <f t="shared" si="8"/>
        <v/>
      </c>
      <c r="L31" s="16" t="str">
        <f t="shared" si="9"/>
        <v/>
      </c>
      <c r="AA31" s="3" t="s">
        <v>185</v>
      </c>
      <c r="AB31" s="3" t="s">
        <v>186</v>
      </c>
      <c r="AC31" s="3" t="s">
        <v>187</v>
      </c>
      <c r="AD31" s="3" t="s">
        <v>43</v>
      </c>
      <c r="AE31" s="3" t="s">
        <v>15</v>
      </c>
      <c r="AF31" s="3">
        <v>65.0</v>
      </c>
      <c r="AG31" s="3" t="s">
        <v>16</v>
      </c>
      <c r="AH31" s="3" t="s">
        <v>188</v>
      </c>
      <c r="AI31" s="3" t="s">
        <v>18</v>
      </c>
      <c r="AJ31" s="3"/>
    </row>
    <row r="32" ht="15.75" customHeight="1">
      <c r="A32" s="22">
        <v>7.0</v>
      </c>
      <c r="B32" s="23"/>
      <c r="C32" s="22" t="str">
        <f t="shared" si="1"/>
        <v/>
      </c>
      <c r="D32" s="22" t="str">
        <f t="shared" si="2"/>
        <v/>
      </c>
      <c r="E32" s="22" t="str">
        <f t="shared" si="3"/>
        <v/>
      </c>
      <c r="F32" s="22" t="str">
        <f t="shared" si="4"/>
        <v/>
      </c>
      <c r="G32" s="24">
        <f t="shared" si="5"/>
        <v>0</v>
      </c>
      <c r="H32" s="25"/>
      <c r="I32" s="26" t="str">
        <f t="shared" si="6"/>
        <v/>
      </c>
      <c r="J32" s="24" t="str">
        <f t="shared" si="7"/>
        <v/>
      </c>
      <c r="K32" s="22" t="str">
        <f t="shared" si="8"/>
        <v/>
      </c>
      <c r="L32" s="16" t="str">
        <f t="shared" si="9"/>
        <v/>
      </c>
      <c r="AA32" s="3" t="s">
        <v>189</v>
      </c>
      <c r="AB32" s="3" t="s">
        <v>190</v>
      </c>
      <c r="AC32" s="3" t="s">
        <v>187</v>
      </c>
      <c r="AD32" s="3" t="s">
        <v>43</v>
      </c>
      <c r="AE32" s="3" t="s">
        <v>15</v>
      </c>
      <c r="AF32" s="3">
        <v>80.0</v>
      </c>
      <c r="AG32" s="3" t="s">
        <v>16</v>
      </c>
      <c r="AH32" s="3" t="s">
        <v>191</v>
      </c>
      <c r="AI32" s="3" t="s">
        <v>18</v>
      </c>
      <c r="AJ32" s="3"/>
    </row>
    <row r="33" ht="15.75" customHeight="1">
      <c r="A33" s="22">
        <v>8.0</v>
      </c>
      <c r="B33" s="27"/>
      <c r="C33" s="22" t="str">
        <f t="shared" si="1"/>
        <v/>
      </c>
      <c r="D33" s="22" t="str">
        <f t="shared" si="2"/>
        <v/>
      </c>
      <c r="E33" s="22" t="str">
        <f t="shared" si="3"/>
        <v/>
      </c>
      <c r="F33" s="22" t="str">
        <f t="shared" si="4"/>
        <v/>
      </c>
      <c r="G33" s="24">
        <f t="shared" si="5"/>
        <v>0</v>
      </c>
      <c r="H33" s="25"/>
      <c r="I33" s="26" t="str">
        <f t="shared" si="6"/>
        <v/>
      </c>
      <c r="J33" s="24" t="str">
        <f t="shared" si="7"/>
        <v/>
      </c>
      <c r="K33" s="22" t="str">
        <f t="shared" si="8"/>
        <v/>
      </c>
      <c r="L33" s="16" t="str">
        <f t="shared" si="9"/>
        <v/>
      </c>
      <c r="AA33" s="3" t="s">
        <v>192</v>
      </c>
      <c r="AB33" s="3" t="s">
        <v>193</v>
      </c>
      <c r="AC33" s="3" t="s">
        <v>187</v>
      </c>
      <c r="AD33" s="3" t="s">
        <v>43</v>
      </c>
      <c r="AE33" s="3" t="s">
        <v>15</v>
      </c>
      <c r="AF33" s="3">
        <v>160.0</v>
      </c>
      <c r="AG33" s="3" t="s">
        <v>16</v>
      </c>
      <c r="AH33" s="3" t="s">
        <v>194</v>
      </c>
      <c r="AI33" s="3" t="s">
        <v>18</v>
      </c>
      <c r="AJ33" s="3"/>
    </row>
    <row r="34" ht="15.75" customHeight="1">
      <c r="A34" s="22">
        <v>9.0</v>
      </c>
      <c r="B34" s="27"/>
      <c r="C34" s="22" t="str">
        <f t="shared" si="1"/>
        <v/>
      </c>
      <c r="D34" s="22" t="str">
        <f t="shared" si="2"/>
        <v/>
      </c>
      <c r="E34" s="22" t="str">
        <f t="shared" si="3"/>
        <v/>
      </c>
      <c r="F34" s="22" t="str">
        <f t="shared" si="4"/>
        <v/>
      </c>
      <c r="G34" s="24">
        <f t="shared" si="5"/>
        <v>0</v>
      </c>
      <c r="H34" s="25"/>
      <c r="I34" s="26" t="str">
        <f t="shared" si="6"/>
        <v/>
      </c>
      <c r="J34" s="24" t="str">
        <f t="shared" si="7"/>
        <v/>
      </c>
      <c r="K34" s="22" t="str">
        <f t="shared" si="8"/>
        <v/>
      </c>
      <c r="L34" s="16" t="str">
        <f t="shared" si="9"/>
        <v/>
      </c>
      <c r="AA34" s="3" t="s">
        <v>195</v>
      </c>
      <c r="AB34" s="3" t="s">
        <v>196</v>
      </c>
      <c r="AC34" s="3" t="s">
        <v>187</v>
      </c>
      <c r="AD34" s="3" t="s">
        <v>197</v>
      </c>
      <c r="AE34" s="3" t="s">
        <v>15</v>
      </c>
      <c r="AF34" s="3">
        <v>12.0</v>
      </c>
      <c r="AG34" s="3" t="s">
        <v>16</v>
      </c>
      <c r="AH34" s="3" t="s">
        <v>198</v>
      </c>
      <c r="AI34" s="3" t="s">
        <v>18</v>
      </c>
      <c r="AJ34" s="3"/>
    </row>
    <row r="35" ht="15.75" customHeight="1">
      <c r="A35" s="22">
        <v>10.0</v>
      </c>
      <c r="B35" s="27"/>
      <c r="C35" s="22" t="str">
        <f t="shared" si="1"/>
        <v/>
      </c>
      <c r="D35" s="22" t="str">
        <f t="shared" si="2"/>
        <v/>
      </c>
      <c r="E35" s="22" t="str">
        <f t="shared" si="3"/>
        <v/>
      </c>
      <c r="F35" s="22" t="str">
        <f t="shared" si="4"/>
        <v/>
      </c>
      <c r="G35" s="24">
        <f t="shared" si="5"/>
        <v>0</v>
      </c>
      <c r="H35" s="25"/>
      <c r="I35" s="26" t="str">
        <f t="shared" si="6"/>
        <v/>
      </c>
      <c r="J35" s="24" t="str">
        <f t="shared" si="7"/>
        <v/>
      </c>
      <c r="K35" s="22" t="str">
        <f t="shared" si="8"/>
        <v/>
      </c>
      <c r="L35" s="16" t="str">
        <f t="shared" si="9"/>
        <v/>
      </c>
      <c r="AA35" s="3" t="s">
        <v>199</v>
      </c>
      <c r="AB35" s="3" t="s">
        <v>200</v>
      </c>
      <c r="AC35" s="3" t="s">
        <v>187</v>
      </c>
      <c r="AD35" s="3" t="s">
        <v>197</v>
      </c>
      <c r="AE35" s="3" t="s">
        <v>15</v>
      </c>
      <c r="AF35" s="3">
        <v>15.0</v>
      </c>
      <c r="AG35" s="3" t="s">
        <v>16</v>
      </c>
      <c r="AH35" s="3" t="s">
        <v>201</v>
      </c>
      <c r="AI35" s="3" t="s">
        <v>18</v>
      </c>
      <c r="AJ35" s="3"/>
    </row>
    <row r="36" ht="15.75" customHeight="1">
      <c r="A36" s="22">
        <v>11.0</v>
      </c>
      <c r="B36" s="27"/>
      <c r="C36" s="22" t="str">
        <f t="shared" si="1"/>
        <v/>
      </c>
      <c r="D36" s="22" t="str">
        <f t="shared" si="2"/>
        <v/>
      </c>
      <c r="E36" s="22" t="str">
        <f t="shared" si="3"/>
        <v/>
      </c>
      <c r="F36" s="22" t="str">
        <f t="shared" si="4"/>
        <v/>
      </c>
      <c r="G36" s="24">
        <f t="shared" si="5"/>
        <v>0</v>
      </c>
      <c r="H36" s="25"/>
      <c r="I36" s="26" t="str">
        <f t="shared" si="6"/>
        <v/>
      </c>
      <c r="J36" s="24" t="str">
        <f t="shared" si="7"/>
        <v/>
      </c>
      <c r="K36" s="22" t="str">
        <f t="shared" si="8"/>
        <v/>
      </c>
      <c r="L36" s="16" t="str">
        <f t="shared" si="9"/>
        <v/>
      </c>
      <c r="AA36" s="3" t="s">
        <v>202</v>
      </c>
      <c r="AB36" s="3" t="s">
        <v>203</v>
      </c>
      <c r="AC36" s="3" t="s">
        <v>187</v>
      </c>
      <c r="AD36" s="3" t="s">
        <v>197</v>
      </c>
      <c r="AE36" s="3" t="s">
        <v>15</v>
      </c>
      <c r="AF36" s="3">
        <v>17.0</v>
      </c>
      <c r="AG36" s="3" t="s">
        <v>16</v>
      </c>
      <c r="AH36" s="3" t="s">
        <v>204</v>
      </c>
      <c r="AI36" s="3" t="s">
        <v>18</v>
      </c>
      <c r="AJ36" s="3"/>
    </row>
    <row r="37" ht="15.75" customHeight="1">
      <c r="A37" s="22">
        <v>12.0</v>
      </c>
      <c r="B37" s="27"/>
      <c r="C37" s="22" t="str">
        <f t="shared" si="1"/>
        <v/>
      </c>
      <c r="D37" s="22" t="str">
        <f t="shared" si="2"/>
        <v/>
      </c>
      <c r="E37" s="22" t="str">
        <f t="shared" si="3"/>
        <v/>
      </c>
      <c r="F37" s="22" t="str">
        <f t="shared" si="4"/>
        <v/>
      </c>
      <c r="G37" s="24">
        <f t="shared" si="5"/>
        <v>0</v>
      </c>
      <c r="H37" s="25"/>
      <c r="I37" s="26" t="str">
        <f t="shared" si="6"/>
        <v/>
      </c>
      <c r="J37" s="24" t="str">
        <f t="shared" si="7"/>
        <v/>
      </c>
      <c r="K37" s="22" t="str">
        <f t="shared" si="8"/>
        <v/>
      </c>
      <c r="L37" s="16" t="str">
        <f t="shared" si="9"/>
        <v/>
      </c>
      <c r="AA37" s="3" t="s">
        <v>205</v>
      </c>
      <c r="AB37" s="3" t="s">
        <v>206</v>
      </c>
      <c r="AC37" s="3" t="s">
        <v>187</v>
      </c>
      <c r="AD37" s="3" t="s">
        <v>197</v>
      </c>
      <c r="AE37" s="3" t="s">
        <v>15</v>
      </c>
      <c r="AF37" s="3">
        <v>17.0</v>
      </c>
      <c r="AG37" s="3" t="s">
        <v>16</v>
      </c>
      <c r="AH37" s="3" t="s">
        <v>207</v>
      </c>
      <c r="AI37" s="3" t="s">
        <v>18</v>
      </c>
      <c r="AJ37" s="3"/>
    </row>
    <row r="38" ht="15.75" customHeight="1">
      <c r="A38" s="22">
        <v>13.0</v>
      </c>
      <c r="B38" s="27"/>
      <c r="C38" s="22" t="str">
        <f t="shared" si="1"/>
        <v/>
      </c>
      <c r="D38" s="22" t="str">
        <f t="shared" si="2"/>
        <v/>
      </c>
      <c r="E38" s="22" t="str">
        <f t="shared" si="3"/>
        <v/>
      </c>
      <c r="F38" s="22" t="str">
        <f t="shared" si="4"/>
        <v/>
      </c>
      <c r="G38" s="24">
        <f t="shared" si="5"/>
        <v>0</v>
      </c>
      <c r="H38" s="25"/>
      <c r="I38" s="26" t="str">
        <f t="shared" si="6"/>
        <v/>
      </c>
      <c r="J38" s="24" t="str">
        <f t="shared" si="7"/>
        <v/>
      </c>
      <c r="K38" s="22" t="str">
        <f t="shared" si="8"/>
        <v/>
      </c>
      <c r="L38" s="16" t="str">
        <f t="shared" si="9"/>
        <v/>
      </c>
      <c r="AA38" s="3" t="s">
        <v>208</v>
      </c>
      <c r="AB38" s="3" t="s">
        <v>209</v>
      </c>
      <c r="AC38" s="3" t="s">
        <v>210</v>
      </c>
      <c r="AD38" s="3" t="s">
        <v>174</v>
      </c>
      <c r="AE38" s="3" t="s">
        <v>15</v>
      </c>
      <c r="AF38" s="3">
        <v>70.0</v>
      </c>
      <c r="AG38" s="3" t="s">
        <v>16</v>
      </c>
      <c r="AH38" s="3" t="s">
        <v>211</v>
      </c>
      <c r="AI38" s="3" t="s">
        <v>18</v>
      </c>
      <c r="AJ38" s="3"/>
    </row>
    <row r="39" ht="15.75" customHeight="1">
      <c r="A39" s="22">
        <v>14.0</v>
      </c>
      <c r="B39" s="27"/>
      <c r="C39" s="22" t="str">
        <f t="shared" si="1"/>
        <v/>
      </c>
      <c r="D39" s="22" t="str">
        <f t="shared" si="2"/>
        <v/>
      </c>
      <c r="E39" s="22" t="str">
        <f t="shared" si="3"/>
        <v/>
      </c>
      <c r="F39" s="22" t="str">
        <f t="shared" si="4"/>
        <v/>
      </c>
      <c r="G39" s="24">
        <f t="shared" si="5"/>
        <v>0</v>
      </c>
      <c r="H39" s="25"/>
      <c r="I39" s="26" t="str">
        <f t="shared" si="6"/>
        <v/>
      </c>
      <c r="J39" s="24" t="str">
        <f t="shared" si="7"/>
        <v/>
      </c>
      <c r="K39" s="22" t="str">
        <f t="shared" si="8"/>
        <v/>
      </c>
      <c r="L39" s="16" t="str">
        <f t="shared" si="9"/>
        <v/>
      </c>
      <c r="AA39" s="3" t="s">
        <v>212</v>
      </c>
      <c r="AB39" s="3" t="s">
        <v>213</v>
      </c>
      <c r="AC39" s="3" t="s">
        <v>210</v>
      </c>
      <c r="AD39" s="3" t="s">
        <v>174</v>
      </c>
      <c r="AE39" s="3" t="s">
        <v>15</v>
      </c>
      <c r="AF39" s="3">
        <v>80.0</v>
      </c>
      <c r="AG39" s="3" t="s">
        <v>16</v>
      </c>
      <c r="AH39" s="3" t="s">
        <v>214</v>
      </c>
      <c r="AI39" s="3" t="s">
        <v>18</v>
      </c>
      <c r="AJ39" s="3"/>
    </row>
    <row r="40" ht="15.75" customHeight="1">
      <c r="A40" s="22">
        <v>15.0</v>
      </c>
      <c r="B40" s="27"/>
      <c r="C40" s="22" t="str">
        <f t="shared" si="1"/>
        <v/>
      </c>
      <c r="D40" s="22" t="str">
        <f t="shared" si="2"/>
        <v/>
      </c>
      <c r="E40" s="22" t="str">
        <f t="shared" si="3"/>
        <v/>
      </c>
      <c r="F40" s="22" t="str">
        <f t="shared" si="4"/>
        <v/>
      </c>
      <c r="G40" s="24">
        <f t="shared" si="5"/>
        <v>0</v>
      </c>
      <c r="H40" s="25"/>
      <c r="I40" s="26" t="str">
        <f t="shared" si="6"/>
        <v/>
      </c>
      <c r="J40" s="24" t="str">
        <f t="shared" si="7"/>
        <v/>
      </c>
      <c r="K40" s="22" t="str">
        <f t="shared" si="8"/>
        <v/>
      </c>
      <c r="L40" s="16" t="str">
        <f t="shared" si="9"/>
        <v/>
      </c>
      <c r="AA40" s="3" t="s">
        <v>215</v>
      </c>
      <c r="AB40" s="3" t="s">
        <v>216</v>
      </c>
      <c r="AC40" s="3" t="s">
        <v>210</v>
      </c>
      <c r="AD40" s="3" t="s">
        <v>174</v>
      </c>
      <c r="AE40" s="3" t="s">
        <v>15</v>
      </c>
      <c r="AF40" s="3">
        <v>80.0</v>
      </c>
      <c r="AG40" s="3" t="s">
        <v>16</v>
      </c>
      <c r="AH40" s="3" t="s">
        <v>217</v>
      </c>
      <c r="AI40" s="3" t="s">
        <v>18</v>
      </c>
      <c r="AJ40" s="3"/>
    </row>
    <row r="41" ht="15.75" customHeight="1">
      <c r="A41" s="22">
        <v>16.0</v>
      </c>
      <c r="B41" s="27"/>
      <c r="C41" s="22" t="str">
        <f t="shared" si="1"/>
        <v/>
      </c>
      <c r="D41" s="22" t="str">
        <f t="shared" si="2"/>
        <v/>
      </c>
      <c r="E41" s="22" t="str">
        <f t="shared" si="3"/>
        <v/>
      </c>
      <c r="F41" s="22" t="str">
        <f t="shared" si="4"/>
        <v/>
      </c>
      <c r="G41" s="24">
        <f t="shared" si="5"/>
        <v>0</v>
      </c>
      <c r="H41" s="25"/>
      <c r="I41" s="26" t="str">
        <f t="shared" si="6"/>
        <v/>
      </c>
      <c r="J41" s="24" t="str">
        <f t="shared" si="7"/>
        <v/>
      </c>
      <c r="K41" s="22" t="str">
        <f t="shared" si="8"/>
        <v/>
      </c>
      <c r="L41" s="16" t="str">
        <f t="shared" si="9"/>
        <v/>
      </c>
      <c r="AA41" s="3" t="s">
        <v>218</v>
      </c>
      <c r="AB41" s="3" t="s">
        <v>219</v>
      </c>
      <c r="AC41" s="3" t="s">
        <v>210</v>
      </c>
      <c r="AD41" s="3" t="s">
        <v>174</v>
      </c>
      <c r="AE41" s="3" t="s">
        <v>15</v>
      </c>
      <c r="AF41" s="3">
        <v>30.0</v>
      </c>
      <c r="AG41" s="3" t="s">
        <v>16</v>
      </c>
      <c r="AH41" s="3" t="s">
        <v>220</v>
      </c>
      <c r="AI41" s="3" t="s">
        <v>18</v>
      </c>
      <c r="AJ41" s="3"/>
    </row>
    <row r="42" ht="15.75" customHeight="1">
      <c r="A42" s="22">
        <v>17.0</v>
      </c>
      <c r="B42" s="27"/>
      <c r="C42" s="22" t="str">
        <f t="shared" si="1"/>
        <v/>
      </c>
      <c r="D42" s="22" t="str">
        <f t="shared" si="2"/>
        <v/>
      </c>
      <c r="E42" s="22" t="str">
        <f t="shared" si="3"/>
        <v/>
      </c>
      <c r="F42" s="22" t="str">
        <f t="shared" si="4"/>
        <v/>
      </c>
      <c r="G42" s="24">
        <f t="shared" si="5"/>
        <v>0</v>
      </c>
      <c r="H42" s="25"/>
      <c r="I42" s="26" t="str">
        <f t="shared" si="6"/>
        <v/>
      </c>
      <c r="J42" s="24" t="str">
        <f t="shared" si="7"/>
        <v/>
      </c>
      <c r="K42" s="22" t="str">
        <f t="shared" si="8"/>
        <v/>
      </c>
      <c r="L42" s="16" t="str">
        <f t="shared" si="9"/>
        <v/>
      </c>
      <c r="AA42" s="3" t="s">
        <v>221</v>
      </c>
      <c r="AB42" s="3" t="s">
        <v>222</v>
      </c>
      <c r="AC42" s="3" t="s">
        <v>210</v>
      </c>
      <c r="AD42" s="3" t="s">
        <v>174</v>
      </c>
      <c r="AE42" s="3" t="s">
        <v>15</v>
      </c>
      <c r="AF42" s="3">
        <v>45.0</v>
      </c>
      <c r="AG42" s="3" t="s">
        <v>16</v>
      </c>
      <c r="AH42" s="3" t="s">
        <v>223</v>
      </c>
      <c r="AI42" s="3" t="s">
        <v>18</v>
      </c>
      <c r="AJ42" s="3"/>
    </row>
    <row r="43" ht="15.75" customHeight="1">
      <c r="A43" s="22">
        <v>18.0</v>
      </c>
      <c r="B43" s="27"/>
      <c r="C43" s="22" t="str">
        <f t="shared" si="1"/>
        <v/>
      </c>
      <c r="D43" s="22" t="str">
        <f t="shared" si="2"/>
        <v/>
      </c>
      <c r="E43" s="22" t="str">
        <f t="shared" si="3"/>
        <v/>
      </c>
      <c r="F43" s="22" t="str">
        <f t="shared" si="4"/>
        <v/>
      </c>
      <c r="G43" s="24">
        <f t="shared" si="5"/>
        <v>0</v>
      </c>
      <c r="H43" s="25"/>
      <c r="I43" s="26" t="str">
        <f t="shared" si="6"/>
        <v/>
      </c>
      <c r="J43" s="24" t="str">
        <f t="shared" si="7"/>
        <v/>
      </c>
      <c r="K43" s="22" t="str">
        <f t="shared" si="8"/>
        <v/>
      </c>
      <c r="L43" s="16" t="str">
        <f t="shared" si="9"/>
        <v/>
      </c>
      <c r="AA43" s="3" t="s">
        <v>224</v>
      </c>
      <c r="AB43" s="3" t="s">
        <v>225</v>
      </c>
      <c r="AC43" s="3" t="s">
        <v>226</v>
      </c>
      <c r="AD43" s="3" t="s">
        <v>227</v>
      </c>
      <c r="AE43" s="3" t="s">
        <v>15</v>
      </c>
      <c r="AF43" s="3">
        <v>35.0</v>
      </c>
      <c r="AG43" s="3" t="s">
        <v>16</v>
      </c>
      <c r="AH43" s="3" t="s">
        <v>228</v>
      </c>
      <c r="AI43" s="3" t="s">
        <v>18</v>
      </c>
      <c r="AJ43" s="3"/>
    </row>
    <row r="44" ht="15.75" customHeight="1">
      <c r="A44" s="22">
        <v>19.0</v>
      </c>
      <c r="B44" s="27"/>
      <c r="C44" s="22" t="str">
        <f t="shared" si="1"/>
        <v/>
      </c>
      <c r="D44" s="22" t="str">
        <f t="shared" si="2"/>
        <v/>
      </c>
      <c r="E44" s="22" t="str">
        <f t="shared" si="3"/>
        <v/>
      </c>
      <c r="F44" s="22" t="str">
        <f t="shared" si="4"/>
        <v/>
      </c>
      <c r="G44" s="24">
        <f t="shared" si="5"/>
        <v>0</v>
      </c>
      <c r="H44" s="25"/>
      <c r="I44" s="26" t="str">
        <f t="shared" si="6"/>
        <v/>
      </c>
      <c r="J44" s="24" t="str">
        <f t="shared" si="7"/>
        <v/>
      </c>
      <c r="K44" s="22" t="str">
        <f t="shared" si="8"/>
        <v/>
      </c>
      <c r="L44" s="16" t="str">
        <f t="shared" si="9"/>
        <v/>
      </c>
      <c r="AA44" s="3" t="s">
        <v>229</v>
      </c>
      <c r="AB44" s="3" t="s">
        <v>230</v>
      </c>
      <c r="AC44" s="3" t="s">
        <v>226</v>
      </c>
      <c r="AD44" s="3" t="s">
        <v>227</v>
      </c>
      <c r="AE44" s="3" t="s">
        <v>15</v>
      </c>
      <c r="AF44" s="3">
        <v>50.0</v>
      </c>
      <c r="AG44" s="3" t="s">
        <v>16</v>
      </c>
      <c r="AH44" s="3" t="s">
        <v>231</v>
      </c>
      <c r="AI44" s="3" t="s">
        <v>18</v>
      </c>
      <c r="AJ44" s="3"/>
    </row>
    <row r="45" ht="15.75" customHeight="1">
      <c r="A45" s="22">
        <v>20.0</v>
      </c>
      <c r="B45" s="27"/>
      <c r="C45" s="22" t="str">
        <f t="shared" si="1"/>
        <v/>
      </c>
      <c r="D45" s="22" t="str">
        <f t="shared" si="2"/>
        <v/>
      </c>
      <c r="E45" s="22" t="str">
        <f t="shared" si="3"/>
        <v/>
      </c>
      <c r="F45" s="22" t="str">
        <f t="shared" si="4"/>
        <v/>
      </c>
      <c r="G45" s="24">
        <f t="shared" si="5"/>
        <v>0</v>
      </c>
      <c r="H45" s="25"/>
      <c r="I45" s="26" t="str">
        <f t="shared" si="6"/>
        <v/>
      </c>
      <c r="J45" s="24" t="str">
        <f t="shared" si="7"/>
        <v/>
      </c>
      <c r="K45" s="22" t="str">
        <f t="shared" si="8"/>
        <v/>
      </c>
      <c r="L45" s="16" t="str">
        <f t="shared" si="9"/>
        <v/>
      </c>
      <c r="AA45" s="3" t="s">
        <v>232</v>
      </c>
      <c r="AB45" s="3" t="s">
        <v>233</v>
      </c>
      <c r="AC45" s="3" t="s">
        <v>226</v>
      </c>
      <c r="AD45" s="3" t="s">
        <v>227</v>
      </c>
      <c r="AE45" s="3" t="s">
        <v>15</v>
      </c>
      <c r="AF45" s="3">
        <v>110.0</v>
      </c>
      <c r="AG45" s="3" t="s">
        <v>16</v>
      </c>
      <c r="AH45" s="3" t="s">
        <v>234</v>
      </c>
      <c r="AI45" s="3" t="s">
        <v>18</v>
      </c>
      <c r="AJ45" s="3"/>
    </row>
    <row r="46" ht="15.75" customHeight="1">
      <c r="A46" s="22">
        <v>21.0</v>
      </c>
      <c r="B46" s="27"/>
      <c r="C46" s="22" t="str">
        <f t="shared" si="1"/>
        <v/>
      </c>
      <c r="D46" s="22" t="str">
        <f t="shared" si="2"/>
        <v/>
      </c>
      <c r="E46" s="22" t="str">
        <f t="shared" si="3"/>
        <v/>
      </c>
      <c r="F46" s="22" t="str">
        <f t="shared" si="4"/>
        <v/>
      </c>
      <c r="G46" s="24">
        <f t="shared" si="5"/>
        <v>0</v>
      </c>
      <c r="H46" s="25"/>
      <c r="I46" s="26" t="str">
        <f t="shared" si="6"/>
        <v/>
      </c>
      <c r="J46" s="24" t="str">
        <f t="shared" si="7"/>
        <v/>
      </c>
      <c r="K46" s="22" t="str">
        <f t="shared" si="8"/>
        <v/>
      </c>
      <c r="L46" s="16" t="str">
        <f t="shared" si="9"/>
        <v/>
      </c>
      <c r="AA46" s="3" t="s">
        <v>235</v>
      </c>
      <c r="AB46" s="3" t="s">
        <v>236</v>
      </c>
      <c r="AC46" s="3" t="s">
        <v>226</v>
      </c>
      <c r="AD46" s="3" t="s">
        <v>237</v>
      </c>
      <c r="AE46" s="3" t="s">
        <v>238</v>
      </c>
      <c r="AF46" s="3">
        <v>1190.0</v>
      </c>
      <c r="AG46" s="3" t="s">
        <v>239</v>
      </c>
      <c r="AH46" s="3" t="s">
        <v>240</v>
      </c>
      <c r="AI46" s="3" t="s">
        <v>18</v>
      </c>
      <c r="AJ46" s="3"/>
    </row>
    <row r="47" ht="15.75" customHeight="1">
      <c r="A47" s="22">
        <v>22.0</v>
      </c>
      <c r="B47" s="27"/>
      <c r="C47" s="22" t="str">
        <f t="shared" si="1"/>
        <v/>
      </c>
      <c r="D47" s="22" t="str">
        <f t="shared" si="2"/>
        <v/>
      </c>
      <c r="E47" s="22" t="str">
        <f t="shared" si="3"/>
        <v/>
      </c>
      <c r="F47" s="22" t="str">
        <f t="shared" si="4"/>
        <v/>
      </c>
      <c r="G47" s="24">
        <f t="shared" si="5"/>
        <v>0</v>
      </c>
      <c r="H47" s="25"/>
      <c r="I47" s="26" t="str">
        <f t="shared" si="6"/>
        <v/>
      </c>
      <c r="J47" s="24" t="str">
        <f t="shared" si="7"/>
        <v/>
      </c>
      <c r="K47" s="22" t="str">
        <f t="shared" si="8"/>
        <v/>
      </c>
      <c r="L47" s="16" t="str">
        <f t="shared" si="9"/>
        <v/>
      </c>
      <c r="AA47" s="3" t="s">
        <v>241</v>
      </c>
      <c r="AB47" s="3" t="s">
        <v>242</v>
      </c>
      <c r="AC47" s="3" t="s">
        <v>226</v>
      </c>
      <c r="AD47" s="3" t="s">
        <v>237</v>
      </c>
      <c r="AE47" s="3" t="s">
        <v>243</v>
      </c>
      <c r="AF47" s="3">
        <v>25.0</v>
      </c>
      <c r="AG47" s="3" t="s">
        <v>244</v>
      </c>
      <c r="AH47" s="3" t="s">
        <v>245</v>
      </c>
      <c r="AI47" s="3" t="s">
        <v>18</v>
      </c>
      <c r="AJ47" s="3"/>
    </row>
    <row r="48" ht="15.75" customHeight="1">
      <c r="A48" s="22">
        <v>23.0</v>
      </c>
      <c r="B48" s="27"/>
      <c r="C48" s="22" t="str">
        <f t="shared" si="1"/>
        <v/>
      </c>
      <c r="D48" s="22" t="str">
        <f t="shared" si="2"/>
        <v/>
      </c>
      <c r="E48" s="22" t="str">
        <f t="shared" si="3"/>
        <v/>
      </c>
      <c r="F48" s="22" t="str">
        <f t="shared" si="4"/>
        <v/>
      </c>
      <c r="G48" s="24">
        <f t="shared" si="5"/>
        <v>0</v>
      </c>
      <c r="H48" s="25"/>
      <c r="I48" s="26" t="str">
        <f t="shared" si="6"/>
        <v/>
      </c>
      <c r="J48" s="24" t="str">
        <f t="shared" si="7"/>
        <v/>
      </c>
      <c r="K48" s="22" t="str">
        <f t="shared" si="8"/>
        <v/>
      </c>
      <c r="L48" s="16" t="str">
        <f t="shared" si="9"/>
        <v/>
      </c>
      <c r="AA48" s="3" t="s">
        <v>246</v>
      </c>
      <c r="AB48" s="3" t="s">
        <v>247</v>
      </c>
      <c r="AC48" s="3" t="s">
        <v>248</v>
      </c>
      <c r="AD48" s="3" t="s">
        <v>249</v>
      </c>
      <c r="AE48" s="3" t="s">
        <v>15</v>
      </c>
      <c r="AF48" s="3">
        <v>12.0</v>
      </c>
      <c r="AG48" s="3" t="s">
        <v>16</v>
      </c>
      <c r="AH48" s="3" t="s">
        <v>250</v>
      </c>
      <c r="AI48" s="3" t="s">
        <v>251</v>
      </c>
      <c r="AJ48" s="3"/>
    </row>
    <row r="49" ht="15.75" customHeight="1">
      <c r="A49" s="22">
        <v>24.0</v>
      </c>
      <c r="B49" s="27"/>
      <c r="C49" s="22" t="str">
        <f t="shared" si="1"/>
        <v/>
      </c>
      <c r="D49" s="22" t="str">
        <f t="shared" si="2"/>
        <v/>
      </c>
      <c r="E49" s="22" t="str">
        <f t="shared" si="3"/>
        <v/>
      </c>
      <c r="F49" s="22" t="str">
        <f t="shared" si="4"/>
        <v/>
      </c>
      <c r="G49" s="24">
        <f t="shared" si="5"/>
        <v>0</v>
      </c>
      <c r="H49" s="25"/>
      <c r="I49" s="26" t="str">
        <f t="shared" si="6"/>
        <v/>
      </c>
      <c r="J49" s="24" t="str">
        <f t="shared" si="7"/>
        <v/>
      </c>
      <c r="K49" s="22" t="str">
        <f t="shared" si="8"/>
        <v/>
      </c>
      <c r="L49" s="16" t="str">
        <f t="shared" si="9"/>
        <v/>
      </c>
      <c r="AA49" s="3" t="s">
        <v>252</v>
      </c>
      <c r="AB49" s="3" t="s">
        <v>253</v>
      </c>
      <c r="AC49" s="3" t="s">
        <v>248</v>
      </c>
      <c r="AD49" s="3" t="s">
        <v>249</v>
      </c>
      <c r="AE49" s="3" t="s">
        <v>15</v>
      </c>
      <c r="AF49" s="3">
        <v>14.0</v>
      </c>
      <c r="AG49" s="3" t="s">
        <v>16</v>
      </c>
      <c r="AH49" s="3" t="s">
        <v>254</v>
      </c>
      <c r="AI49" s="3" t="s">
        <v>251</v>
      </c>
      <c r="AJ49" s="3"/>
    </row>
    <row r="50" ht="15.75" customHeight="1">
      <c r="A50" s="22">
        <v>25.0</v>
      </c>
      <c r="B50" s="27"/>
      <c r="C50" s="22" t="str">
        <f t="shared" si="1"/>
        <v/>
      </c>
      <c r="D50" s="22" t="str">
        <f t="shared" si="2"/>
        <v/>
      </c>
      <c r="E50" s="22" t="str">
        <f t="shared" si="3"/>
        <v/>
      </c>
      <c r="F50" s="22" t="str">
        <f t="shared" si="4"/>
        <v/>
      </c>
      <c r="G50" s="24">
        <f t="shared" si="5"/>
        <v>0</v>
      </c>
      <c r="H50" s="25"/>
      <c r="I50" s="26" t="str">
        <f t="shared" si="6"/>
        <v/>
      </c>
      <c r="J50" s="24" t="str">
        <f t="shared" si="7"/>
        <v/>
      </c>
      <c r="K50" s="22" t="str">
        <f t="shared" si="8"/>
        <v/>
      </c>
      <c r="L50" s="16" t="str">
        <f t="shared" si="9"/>
        <v/>
      </c>
      <c r="AA50" s="3" t="s">
        <v>255</v>
      </c>
      <c r="AB50" s="3" t="s">
        <v>256</v>
      </c>
      <c r="AC50" s="3" t="s">
        <v>248</v>
      </c>
      <c r="AD50" s="3" t="s">
        <v>257</v>
      </c>
      <c r="AE50" s="3" t="s">
        <v>15</v>
      </c>
      <c r="AF50" s="3">
        <v>0.0</v>
      </c>
      <c r="AG50" s="3" t="s">
        <v>16</v>
      </c>
      <c r="AH50" s="3" t="s">
        <v>258</v>
      </c>
      <c r="AI50" s="3" t="s">
        <v>18</v>
      </c>
      <c r="AJ50" s="3"/>
    </row>
    <row r="51" ht="15.75" customHeight="1">
      <c r="A51" s="22">
        <v>26.0</v>
      </c>
      <c r="B51" s="27"/>
      <c r="C51" s="22" t="str">
        <f t="shared" si="1"/>
        <v/>
      </c>
      <c r="D51" s="22" t="str">
        <f t="shared" si="2"/>
        <v/>
      </c>
      <c r="E51" s="22" t="str">
        <f t="shared" si="3"/>
        <v/>
      </c>
      <c r="F51" s="22" t="str">
        <f t="shared" si="4"/>
        <v/>
      </c>
      <c r="G51" s="24">
        <f t="shared" si="5"/>
        <v>0</v>
      </c>
      <c r="H51" s="25"/>
      <c r="I51" s="26" t="str">
        <f t="shared" si="6"/>
        <v/>
      </c>
      <c r="J51" s="24" t="str">
        <f t="shared" si="7"/>
        <v/>
      </c>
      <c r="K51" s="22" t="str">
        <f t="shared" si="8"/>
        <v/>
      </c>
      <c r="L51" s="16" t="str">
        <f t="shared" si="9"/>
        <v/>
      </c>
      <c r="AA51" s="3" t="s">
        <v>259</v>
      </c>
      <c r="AB51" s="3" t="s">
        <v>260</v>
      </c>
      <c r="AC51" s="3" t="s">
        <v>248</v>
      </c>
      <c r="AD51" s="3" t="s">
        <v>257</v>
      </c>
      <c r="AE51" s="3" t="s">
        <v>15</v>
      </c>
      <c r="AF51" s="3">
        <v>7.0</v>
      </c>
      <c r="AG51" s="3" t="s">
        <v>16</v>
      </c>
      <c r="AH51" s="3" t="s">
        <v>261</v>
      </c>
      <c r="AI51" s="3" t="s">
        <v>18</v>
      </c>
      <c r="AJ51" s="3"/>
    </row>
    <row r="52" ht="15.75" customHeight="1">
      <c r="A52" s="22">
        <v>27.0</v>
      </c>
      <c r="B52" s="27"/>
      <c r="C52" s="22" t="str">
        <f t="shared" si="1"/>
        <v/>
      </c>
      <c r="D52" s="22" t="str">
        <f t="shared" si="2"/>
        <v/>
      </c>
      <c r="E52" s="22" t="str">
        <f t="shared" si="3"/>
        <v/>
      </c>
      <c r="F52" s="22" t="str">
        <f t="shared" si="4"/>
        <v/>
      </c>
      <c r="G52" s="24">
        <f t="shared" si="5"/>
        <v>0</v>
      </c>
      <c r="H52" s="25"/>
      <c r="I52" s="26" t="str">
        <f t="shared" si="6"/>
        <v/>
      </c>
      <c r="J52" s="24" t="str">
        <f t="shared" si="7"/>
        <v/>
      </c>
      <c r="K52" s="22" t="str">
        <f t="shared" si="8"/>
        <v/>
      </c>
      <c r="L52" s="16" t="str">
        <f t="shared" si="9"/>
        <v/>
      </c>
      <c r="AA52" s="3" t="s">
        <v>262</v>
      </c>
      <c r="AB52" s="3" t="s">
        <v>263</v>
      </c>
      <c r="AC52" s="3" t="s">
        <v>248</v>
      </c>
      <c r="AD52" s="3" t="s">
        <v>257</v>
      </c>
      <c r="AE52" s="3" t="s">
        <v>15</v>
      </c>
      <c r="AF52" s="3">
        <v>0.0</v>
      </c>
      <c r="AG52" s="3" t="s">
        <v>16</v>
      </c>
      <c r="AH52" s="3" t="s">
        <v>264</v>
      </c>
      <c r="AI52" s="3" t="s">
        <v>18</v>
      </c>
      <c r="AJ52" s="3"/>
    </row>
    <row r="53" ht="15.75" customHeight="1">
      <c r="A53" s="22">
        <v>28.0</v>
      </c>
      <c r="B53" s="27"/>
      <c r="C53" s="22" t="str">
        <f t="shared" si="1"/>
        <v/>
      </c>
      <c r="D53" s="22" t="str">
        <f t="shared" si="2"/>
        <v/>
      </c>
      <c r="E53" s="22" t="str">
        <f t="shared" si="3"/>
        <v/>
      </c>
      <c r="F53" s="22" t="str">
        <f t="shared" si="4"/>
        <v/>
      </c>
      <c r="G53" s="24">
        <f t="shared" si="5"/>
        <v>0</v>
      </c>
      <c r="H53" s="25"/>
      <c r="I53" s="26" t="str">
        <f t="shared" si="6"/>
        <v/>
      </c>
      <c r="J53" s="24" t="str">
        <f t="shared" si="7"/>
        <v/>
      </c>
      <c r="K53" s="22" t="str">
        <f t="shared" si="8"/>
        <v/>
      </c>
      <c r="L53" s="16" t="str">
        <f t="shared" si="9"/>
        <v/>
      </c>
      <c r="AA53" s="3" t="s">
        <v>265</v>
      </c>
      <c r="AB53" s="3" t="s">
        <v>266</v>
      </c>
      <c r="AC53" s="3" t="s">
        <v>248</v>
      </c>
      <c r="AD53" s="3" t="s">
        <v>257</v>
      </c>
      <c r="AE53" s="3" t="s">
        <v>15</v>
      </c>
      <c r="AF53" s="3">
        <v>0.0</v>
      </c>
      <c r="AG53" s="3" t="s">
        <v>16</v>
      </c>
      <c r="AH53" s="3" t="s">
        <v>267</v>
      </c>
      <c r="AI53" s="3" t="s">
        <v>18</v>
      </c>
      <c r="AJ53" s="3"/>
    </row>
    <row r="54" ht="15.75" customHeight="1">
      <c r="A54" s="22">
        <v>29.0</v>
      </c>
      <c r="B54" s="27"/>
      <c r="C54" s="22" t="str">
        <f t="shared" si="1"/>
        <v/>
      </c>
      <c r="D54" s="22" t="str">
        <f t="shared" si="2"/>
        <v/>
      </c>
      <c r="E54" s="22" t="str">
        <f t="shared" si="3"/>
        <v/>
      </c>
      <c r="F54" s="22" t="str">
        <f t="shared" si="4"/>
        <v/>
      </c>
      <c r="G54" s="24">
        <f t="shared" si="5"/>
        <v>0</v>
      </c>
      <c r="H54" s="25"/>
      <c r="I54" s="26" t="str">
        <f t="shared" si="6"/>
        <v/>
      </c>
      <c r="J54" s="24" t="str">
        <f t="shared" si="7"/>
        <v/>
      </c>
      <c r="K54" s="22" t="str">
        <f t="shared" si="8"/>
        <v/>
      </c>
      <c r="L54" s="16" t="str">
        <f t="shared" si="9"/>
        <v/>
      </c>
      <c r="AA54" s="3" t="s">
        <v>268</v>
      </c>
      <c r="AB54" s="3" t="s">
        <v>269</v>
      </c>
      <c r="AC54" s="3" t="s">
        <v>248</v>
      </c>
      <c r="AD54" s="3" t="s">
        <v>270</v>
      </c>
      <c r="AE54" s="3" t="s">
        <v>15</v>
      </c>
      <c r="AF54" s="3">
        <v>4.5</v>
      </c>
      <c r="AG54" s="3" t="s">
        <v>16</v>
      </c>
      <c r="AH54" s="3" t="s">
        <v>271</v>
      </c>
      <c r="AI54" s="3" t="s">
        <v>18</v>
      </c>
      <c r="AJ54" s="3"/>
    </row>
    <row r="55" ht="15.75" customHeight="1">
      <c r="A55" s="22">
        <v>30.0</v>
      </c>
      <c r="B55" s="27"/>
      <c r="C55" s="22" t="str">
        <f t="shared" si="1"/>
        <v/>
      </c>
      <c r="D55" s="22" t="str">
        <f t="shared" si="2"/>
        <v/>
      </c>
      <c r="E55" s="22" t="str">
        <f t="shared" si="3"/>
        <v/>
      </c>
      <c r="F55" s="22" t="str">
        <f t="shared" si="4"/>
        <v/>
      </c>
      <c r="G55" s="24">
        <f t="shared" si="5"/>
        <v>0</v>
      </c>
      <c r="H55" s="25"/>
      <c r="I55" s="26" t="str">
        <f t="shared" si="6"/>
        <v/>
      </c>
      <c r="J55" s="24" t="str">
        <f t="shared" si="7"/>
        <v/>
      </c>
      <c r="K55" s="22" t="str">
        <f t="shared" si="8"/>
        <v/>
      </c>
      <c r="L55" s="16" t="str">
        <f t="shared" si="9"/>
        <v/>
      </c>
      <c r="AA55" s="3" t="s">
        <v>272</v>
      </c>
      <c r="AB55" s="3" t="s">
        <v>273</v>
      </c>
      <c r="AC55" s="3" t="s">
        <v>248</v>
      </c>
      <c r="AD55" s="3" t="s">
        <v>270</v>
      </c>
      <c r="AE55" s="3" t="s">
        <v>15</v>
      </c>
      <c r="AF55" s="3">
        <v>8.0</v>
      </c>
      <c r="AG55" s="3" t="s">
        <v>16</v>
      </c>
      <c r="AH55" s="3" t="s">
        <v>274</v>
      </c>
      <c r="AI55" s="3" t="s">
        <v>18</v>
      </c>
      <c r="AJ55" s="3"/>
    </row>
    <row r="56" ht="15.75" customHeight="1">
      <c r="A56" s="22">
        <v>31.0</v>
      </c>
      <c r="B56" s="27"/>
      <c r="C56" s="22" t="str">
        <f t="shared" si="1"/>
        <v/>
      </c>
      <c r="D56" s="22" t="str">
        <f t="shared" si="2"/>
        <v/>
      </c>
      <c r="E56" s="22" t="str">
        <f t="shared" si="3"/>
        <v/>
      </c>
      <c r="F56" s="22" t="str">
        <f t="shared" si="4"/>
        <v/>
      </c>
      <c r="G56" s="24">
        <f t="shared" si="5"/>
        <v>0</v>
      </c>
      <c r="H56" s="25"/>
      <c r="I56" s="26" t="str">
        <f t="shared" si="6"/>
        <v/>
      </c>
      <c r="J56" s="24" t="str">
        <f t="shared" si="7"/>
        <v/>
      </c>
      <c r="K56" s="22" t="str">
        <f t="shared" si="8"/>
        <v/>
      </c>
      <c r="L56" s="16" t="str">
        <f t="shared" si="9"/>
        <v/>
      </c>
      <c r="AA56" s="3" t="s">
        <v>275</v>
      </c>
      <c r="AB56" s="3" t="s">
        <v>276</v>
      </c>
      <c r="AC56" s="3" t="s">
        <v>277</v>
      </c>
      <c r="AD56" s="3" t="s">
        <v>278</v>
      </c>
      <c r="AE56" s="3" t="s">
        <v>243</v>
      </c>
      <c r="AF56" s="3">
        <v>0.0</v>
      </c>
      <c r="AG56" s="3" t="s">
        <v>244</v>
      </c>
      <c r="AH56" s="3" t="s">
        <v>279</v>
      </c>
      <c r="AI56" s="3" t="s">
        <v>18</v>
      </c>
      <c r="AJ56" s="3"/>
    </row>
    <row r="57" ht="15.75" customHeight="1">
      <c r="A57" s="22">
        <v>32.0</v>
      </c>
      <c r="B57" s="27"/>
      <c r="C57" s="22" t="str">
        <f t="shared" si="1"/>
        <v/>
      </c>
      <c r="D57" s="22" t="str">
        <f t="shared" si="2"/>
        <v/>
      </c>
      <c r="E57" s="22" t="str">
        <f t="shared" si="3"/>
        <v/>
      </c>
      <c r="F57" s="22" t="str">
        <f t="shared" si="4"/>
        <v/>
      </c>
      <c r="G57" s="24">
        <f t="shared" si="5"/>
        <v>0</v>
      </c>
      <c r="H57" s="25"/>
      <c r="I57" s="26" t="str">
        <f t="shared" si="6"/>
        <v/>
      </c>
      <c r="J57" s="24" t="str">
        <f t="shared" si="7"/>
        <v/>
      </c>
      <c r="K57" s="22" t="str">
        <f t="shared" si="8"/>
        <v/>
      </c>
      <c r="L57" s="16" t="str">
        <f t="shared" si="9"/>
        <v/>
      </c>
      <c r="AA57" s="3" t="s">
        <v>280</v>
      </c>
      <c r="AB57" s="3" t="s">
        <v>281</v>
      </c>
      <c r="AC57" s="3" t="s">
        <v>277</v>
      </c>
      <c r="AD57" s="3" t="s">
        <v>278</v>
      </c>
      <c r="AE57" s="3" t="s">
        <v>243</v>
      </c>
      <c r="AF57" s="3">
        <v>900.0</v>
      </c>
      <c r="AG57" s="3" t="s">
        <v>244</v>
      </c>
      <c r="AH57" s="3" t="s">
        <v>282</v>
      </c>
      <c r="AI57" s="3" t="s">
        <v>18</v>
      </c>
      <c r="AJ57" s="3"/>
    </row>
    <row r="58" ht="15.75" customHeight="1">
      <c r="A58" s="22">
        <v>33.0</v>
      </c>
      <c r="B58" s="27"/>
      <c r="C58" s="22" t="str">
        <f t="shared" si="1"/>
        <v/>
      </c>
      <c r="D58" s="22" t="str">
        <f t="shared" si="2"/>
        <v/>
      </c>
      <c r="E58" s="22" t="str">
        <f t="shared" si="3"/>
        <v/>
      </c>
      <c r="F58" s="22" t="str">
        <f t="shared" si="4"/>
        <v/>
      </c>
      <c r="G58" s="24">
        <f t="shared" si="5"/>
        <v>0</v>
      </c>
      <c r="H58" s="25"/>
      <c r="I58" s="26" t="str">
        <f t="shared" si="6"/>
        <v/>
      </c>
      <c r="J58" s="24" t="str">
        <f t="shared" si="7"/>
        <v/>
      </c>
      <c r="K58" s="22" t="str">
        <f t="shared" si="8"/>
        <v/>
      </c>
      <c r="L58" s="16" t="str">
        <f t="shared" si="9"/>
        <v/>
      </c>
      <c r="AA58" s="3" t="s">
        <v>283</v>
      </c>
      <c r="AB58" s="3" t="s">
        <v>284</v>
      </c>
      <c r="AC58" s="3" t="s">
        <v>277</v>
      </c>
      <c r="AD58" s="3" t="s">
        <v>278</v>
      </c>
      <c r="AE58" s="3" t="s">
        <v>243</v>
      </c>
      <c r="AF58" s="3">
        <v>160.0</v>
      </c>
      <c r="AG58" s="3" t="s">
        <v>244</v>
      </c>
      <c r="AH58" s="3" t="s">
        <v>285</v>
      </c>
      <c r="AI58" s="3" t="s">
        <v>18</v>
      </c>
      <c r="AJ58" s="3"/>
    </row>
    <row r="59" ht="15.75" customHeight="1">
      <c r="A59" s="22">
        <v>34.0</v>
      </c>
      <c r="B59" s="27"/>
      <c r="C59" s="22" t="str">
        <f t="shared" si="1"/>
        <v/>
      </c>
      <c r="D59" s="22" t="str">
        <f t="shared" si="2"/>
        <v/>
      </c>
      <c r="E59" s="22" t="str">
        <f t="shared" si="3"/>
        <v/>
      </c>
      <c r="F59" s="22" t="str">
        <f t="shared" si="4"/>
        <v/>
      </c>
      <c r="G59" s="24">
        <f t="shared" si="5"/>
        <v>0</v>
      </c>
      <c r="H59" s="25"/>
      <c r="I59" s="26" t="str">
        <f t="shared" si="6"/>
        <v/>
      </c>
      <c r="J59" s="24" t="str">
        <f t="shared" si="7"/>
        <v/>
      </c>
      <c r="K59" s="22" t="str">
        <f t="shared" si="8"/>
        <v/>
      </c>
      <c r="L59" s="16" t="str">
        <f t="shared" si="9"/>
        <v/>
      </c>
      <c r="AA59" s="3" t="s">
        <v>286</v>
      </c>
      <c r="AB59" s="3" t="s">
        <v>287</v>
      </c>
      <c r="AC59" s="3" t="s">
        <v>277</v>
      </c>
      <c r="AD59" s="3" t="s">
        <v>278</v>
      </c>
      <c r="AE59" s="3" t="s">
        <v>243</v>
      </c>
      <c r="AF59" s="3">
        <v>1000.0</v>
      </c>
      <c r="AG59" s="3" t="s">
        <v>244</v>
      </c>
      <c r="AH59" s="3" t="s">
        <v>288</v>
      </c>
      <c r="AI59" s="3" t="s">
        <v>18</v>
      </c>
      <c r="AJ59" s="3"/>
    </row>
    <row r="60" ht="15.75" customHeight="1">
      <c r="A60" s="22">
        <v>35.0</v>
      </c>
      <c r="B60" s="27"/>
      <c r="C60" s="22" t="str">
        <f t="shared" si="1"/>
        <v/>
      </c>
      <c r="D60" s="22" t="str">
        <f t="shared" si="2"/>
        <v/>
      </c>
      <c r="E60" s="22" t="str">
        <f t="shared" si="3"/>
        <v/>
      </c>
      <c r="F60" s="22" t="str">
        <f t="shared" si="4"/>
        <v/>
      </c>
      <c r="G60" s="24">
        <f t="shared" si="5"/>
        <v>0</v>
      </c>
      <c r="H60" s="25"/>
      <c r="I60" s="26" t="str">
        <f t="shared" si="6"/>
        <v/>
      </c>
      <c r="J60" s="24" t="str">
        <f t="shared" si="7"/>
        <v/>
      </c>
      <c r="K60" s="22" t="str">
        <f t="shared" si="8"/>
        <v/>
      </c>
      <c r="L60" s="16" t="str">
        <f t="shared" si="9"/>
        <v/>
      </c>
      <c r="AA60" s="3" t="s">
        <v>289</v>
      </c>
      <c r="AB60" s="3" t="s">
        <v>290</v>
      </c>
      <c r="AC60" s="3" t="s">
        <v>277</v>
      </c>
      <c r="AD60" s="3" t="s">
        <v>257</v>
      </c>
      <c r="AE60" s="3" t="s">
        <v>15</v>
      </c>
      <c r="AF60" s="3">
        <v>0.0</v>
      </c>
      <c r="AG60" s="3" t="s">
        <v>16</v>
      </c>
      <c r="AH60" s="3" t="s">
        <v>291</v>
      </c>
      <c r="AI60" s="3" t="s">
        <v>18</v>
      </c>
      <c r="AJ60" s="3"/>
    </row>
    <row r="61" ht="15.75" customHeight="1">
      <c r="A61" s="22">
        <v>36.0</v>
      </c>
      <c r="B61" s="27"/>
      <c r="C61" s="22" t="str">
        <f t="shared" si="1"/>
        <v/>
      </c>
      <c r="D61" s="22" t="str">
        <f t="shared" si="2"/>
        <v/>
      </c>
      <c r="E61" s="22" t="str">
        <f t="shared" si="3"/>
        <v/>
      </c>
      <c r="F61" s="22" t="str">
        <f t="shared" si="4"/>
        <v/>
      </c>
      <c r="G61" s="24">
        <f t="shared" si="5"/>
        <v>0</v>
      </c>
      <c r="H61" s="25"/>
      <c r="I61" s="26" t="str">
        <f t="shared" si="6"/>
        <v/>
      </c>
      <c r="J61" s="24" t="str">
        <f t="shared" si="7"/>
        <v/>
      </c>
      <c r="K61" s="22" t="str">
        <f t="shared" si="8"/>
        <v/>
      </c>
      <c r="L61" s="16" t="str">
        <f t="shared" si="9"/>
        <v/>
      </c>
      <c r="AA61" s="3" t="s">
        <v>292</v>
      </c>
      <c r="AB61" s="3" t="s">
        <v>293</v>
      </c>
      <c r="AC61" s="3" t="s">
        <v>294</v>
      </c>
      <c r="AD61" s="3" t="s">
        <v>278</v>
      </c>
      <c r="AE61" s="3" t="s">
        <v>243</v>
      </c>
      <c r="AF61" s="3">
        <v>1200.0</v>
      </c>
      <c r="AG61" s="3" t="s">
        <v>244</v>
      </c>
      <c r="AH61" s="3" t="s">
        <v>295</v>
      </c>
      <c r="AI61" s="3" t="s">
        <v>18</v>
      </c>
      <c r="AJ61" s="3"/>
    </row>
    <row r="62" ht="15.75" customHeight="1">
      <c r="A62" s="22">
        <v>37.0</v>
      </c>
      <c r="B62" s="27"/>
      <c r="C62" s="22" t="str">
        <f t="shared" si="1"/>
        <v/>
      </c>
      <c r="D62" s="22" t="str">
        <f t="shared" si="2"/>
        <v/>
      </c>
      <c r="E62" s="22" t="str">
        <f t="shared" si="3"/>
        <v/>
      </c>
      <c r="F62" s="22" t="str">
        <f t="shared" si="4"/>
        <v/>
      </c>
      <c r="G62" s="24">
        <f t="shared" si="5"/>
        <v>0</v>
      </c>
      <c r="H62" s="25"/>
      <c r="I62" s="26" t="str">
        <f t="shared" si="6"/>
        <v/>
      </c>
      <c r="J62" s="24" t="str">
        <f t="shared" si="7"/>
        <v/>
      </c>
      <c r="K62" s="22" t="str">
        <f t="shared" si="8"/>
        <v/>
      </c>
      <c r="L62" s="16" t="str">
        <f t="shared" si="9"/>
        <v/>
      </c>
      <c r="AA62" s="3" t="s">
        <v>296</v>
      </c>
      <c r="AB62" s="3" t="s">
        <v>297</v>
      </c>
      <c r="AC62" s="3" t="s">
        <v>294</v>
      </c>
      <c r="AD62" s="3" t="s">
        <v>278</v>
      </c>
      <c r="AE62" s="3" t="s">
        <v>243</v>
      </c>
      <c r="AF62" s="3">
        <v>3000.0</v>
      </c>
      <c r="AG62" s="3" t="s">
        <v>244</v>
      </c>
      <c r="AH62" s="3" t="s">
        <v>298</v>
      </c>
      <c r="AI62" s="3" t="s">
        <v>18</v>
      </c>
      <c r="AJ62" s="3"/>
    </row>
    <row r="63" ht="15.75" customHeight="1">
      <c r="A63" s="22">
        <v>38.0</v>
      </c>
      <c r="B63" s="27"/>
      <c r="C63" s="22" t="str">
        <f t="shared" si="1"/>
        <v/>
      </c>
      <c r="D63" s="22" t="str">
        <f t="shared" si="2"/>
        <v/>
      </c>
      <c r="E63" s="22" t="str">
        <f t="shared" si="3"/>
        <v/>
      </c>
      <c r="F63" s="22" t="str">
        <f t="shared" si="4"/>
        <v/>
      </c>
      <c r="G63" s="24">
        <f t="shared" si="5"/>
        <v>0</v>
      </c>
      <c r="H63" s="25"/>
      <c r="I63" s="26" t="str">
        <f t="shared" si="6"/>
        <v/>
      </c>
      <c r="J63" s="24" t="str">
        <f t="shared" si="7"/>
        <v/>
      </c>
      <c r="K63" s="22" t="str">
        <f t="shared" si="8"/>
        <v/>
      </c>
      <c r="L63" s="16" t="str">
        <f t="shared" si="9"/>
        <v/>
      </c>
      <c r="AA63" s="3" t="s">
        <v>299</v>
      </c>
      <c r="AB63" s="3" t="s">
        <v>300</v>
      </c>
      <c r="AC63" s="3" t="s">
        <v>294</v>
      </c>
      <c r="AD63" s="3" t="s">
        <v>278</v>
      </c>
      <c r="AE63" s="3" t="s">
        <v>243</v>
      </c>
      <c r="AF63" s="3">
        <v>3000.0</v>
      </c>
      <c r="AG63" s="3" t="s">
        <v>244</v>
      </c>
      <c r="AH63" s="3" t="s">
        <v>301</v>
      </c>
      <c r="AI63" s="3" t="s">
        <v>18</v>
      </c>
      <c r="AJ63" s="3"/>
    </row>
    <row r="64" ht="15.75" customHeight="1">
      <c r="A64" s="22">
        <v>39.0</v>
      </c>
      <c r="B64" s="27"/>
      <c r="C64" s="22" t="str">
        <f t="shared" si="1"/>
        <v/>
      </c>
      <c r="D64" s="22" t="str">
        <f t="shared" si="2"/>
        <v/>
      </c>
      <c r="E64" s="22" t="str">
        <f t="shared" si="3"/>
        <v/>
      </c>
      <c r="F64" s="22" t="str">
        <f t="shared" si="4"/>
        <v/>
      </c>
      <c r="G64" s="24">
        <f t="shared" si="5"/>
        <v>0</v>
      </c>
      <c r="H64" s="25"/>
      <c r="I64" s="26" t="str">
        <f t="shared" si="6"/>
        <v/>
      </c>
      <c r="J64" s="24" t="str">
        <f t="shared" si="7"/>
        <v/>
      </c>
      <c r="K64" s="22" t="str">
        <f t="shared" si="8"/>
        <v/>
      </c>
      <c r="L64" s="16" t="str">
        <f t="shared" si="9"/>
        <v/>
      </c>
      <c r="AA64" s="3" t="s">
        <v>302</v>
      </c>
      <c r="AB64" s="3" t="s">
        <v>303</v>
      </c>
      <c r="AC64" s="3" t="s">
        <v>294</v>
      </c>
      <c r="AD64" s="3" t="s">
        <v>278</v>
      </c>
      <c r="AE64" s="3" t="s">
        <v>243</v>
      </c>
      <c r="AF64" s="3">
        <v>3600.0</v>
      </c>
      <c r="AG64" s="3" t="s">
        <v>244</v>
      </c>
      <c r="AH64" s="3" t="s">
        <v>304</v>
      </c>
      <c r="AI64" s="3" t="s">
        <v>18</v>
      </c>
      <c r="AJ64" s="3"/>
    </row>
    <row r="65" ht="15.75" customHeight="1">
      <c r="A65" s="22">
        <v>40.0</v>
      </c>
      <c r="B65" s="27"/>
      <c r="C65" s="22" t="str">
        <f t="shared" si="1"/>
        <v/>
      </c>
      <c r="D65" s="22" t="str">
        <f t="shared" si="2"/>
        <v/>
      </c>
      <c r="E65" s="22" t="str">
        <f t="shared" si="3"/>
        <v/>
      </c>
      <c r="F65" s="22" t="str">
        <f t="shared" si="4"/>
        <v/>
      </c>
      <c r="G65" s="24">
        <f t="shared" si="5"/>
        <v>0</v>
      </c>
      <c r="H65" s="25"/>
      <c r="I65" s="26" t="str">
        <f t="shared" si="6"/>
        <v/>
      </c>
      <c r="J65" s="24" t="str">
        <f t="shared" si="7"/>
        <v/>
      </c>
      <c r="K65" s="22" t="str">
        <f t="shared" si="8"/>
        <v/>
      </c>
      <c r="L65" s="16" t="str">
        <f t="shared" si="9"/>
        <v/>
      </c>
      <c r="AA65" s="3" t="s">
        <v>305</v>
      </c>
      <c r="AB65" s="3" t="s">
        <v>306</v>
      </c>
      <c r="AC65" s="3" t="s">
        <v>294</v>
      </c>
      <c r="AD65" s="3" t="s">
        <v>278</v>
      </c>
      <c r="AE65" s="3" t="s">
        <v>243</v>
      </c>
      <c r="AF65" s="3">
        <v>1120.0</v>
      </c>
      <c r="AG65" s="3" t="s">
        <v>244</v>
      </c>
      <c r="AH65" s="3" t="s">
        <v>307</v>
      </c>
      <c r="AI65" s="3" t="s">
        <v>18</v>
      </c>
      <c r="AJ65" s="3"/>
    </row>
    <row r="66" ht="15.75" customHeight="1">
      <c r="AA66" s="3" t="s">
        <v>308</v>
      </c>
      <c r="AB66" s="3" t="s">
        <v>309</v>
      </c>
      <c r="AC66" s="3" t="s">
        <v>294</v>
      </c>
      <c r="AD66" s="3" t="s">
        <v>278</v>
      </c>
      <c r="AE66" s="3" t="s">
        <v>243</v>
      </c>
      <c r="AF66" s="3">
        <v>910.0</v>
      </c>
      <c r="AG66" s="3" t="s">
        <v>244</v>
      </c>
      <c r="AH66" s="3" t="s">
        <v>310</v>
      </c>
      <c r="AI66" s="3" t="s">
        <v>18</v>
      </c>
      <c r="AJ66" s="3"/>
    </row>
    <row r="67" ht="15.75" customHeight="1">
      <c r="AA67" s="3" t="s">
        <v>311</v>
      </c>
      <c r="AB67" s="3" t="s">
        <v>312</v>
      </c>
      <c r="AC67" s="3" t="s">
        <v>294</v>
      </c>
      <c r="AD67" s="3" t="s">
        <v>278</v>
      </c>
      <c r="AE67" s="3" t="s">
        <v>243</v>
      </c>
      <c r="AF67" s="3">
        <v>1050.0</v>
      </c>
      <c r="AG67" s="3" t="s">
        <v>244</v>
      </c>
      <c r="AH67" s="3" t="s">
        <v>313</v>
      </c>
      <c r="AI67" s="3" t="s">
        <v>18</v>
      </c>
      <c r="AJ67" s="3"/>
    </row>
    <row r="68" ht="15.75" customHeight="1">
      <c r="AA68" s="3" t="s">
        <v>314</v>
      </c>
      <c r="AB68" s="3" t="s">
        <v>315</v>
      </c>
      <c r="AC68" s="3" t="s">
        <v>294</v>
      </c>
      <c r="AD68" s="3" t="s">
        <v>278</v>
      </c>
      <c r="AE68" s="3" t="s">
        <v>243</v>
      </c>
      <c r="AF68" s="3">
        <v>1200.0</v>
      </c>
      <c r="AG68" s="3" t="s">
        <v>244</v>
      </c>
      <c r="AH68" s="3" t="s">
        <v>316</v>
      </c>
      <c r="AI68" s="3" t="s">
        <v>18</v>
      </c>
      <c r="AJ68" s="3"/>
    </row>
    <row r="69" ht="15.75" customHeight="1">
      <c r="AA69" s="3" t="s">
        <v>317</v>
      </c>
      <c r="AB69" s="3" t="s">
        <v>318</v>
      </c>
      <c r="AC69" s="3" t="s">
        <v>294</v>
      </c>
      <c r="AD69" s="3" t="s">
        <v>278</v>
      </c>
      <c r="AE69" s="3" t="s">
        <v>243</v>
      </c>
      <c r="AF69" s="3">
        <v>1440.0</v>
      </c>
      <c r="AG69" s="3" t="s">
        <v>244</v>
      </c>
      <c r="AH69" s="3" t="s">
        <v>319</v>
      </c>
      <c r="AI69" s="3" t="s">
        <v>18</v>
      </c>
      <c r="AJ69" s="3"/>
    </row>
    <row r="70" ht="15.75" customHeight="1">
      <c r="AA70" s="3" t="s">
        <v>320</v>
      </c>
      <c r="AB70" s="3" t="s">
        <v>321</v>
      </c>
      <c r="AC70" s="3" t="s">
        <v>294</v>
      </c>
      <c r="AD70" s="3" t="s">
        <v>278</v>
      </c>
      <c r="AE70" s="3" t="s">
        <v>243</v>
      </c>
      <c r="AF70" s="3">
        <v>0.0</v>
      </c>
      <c r="AG70" s="3" t="s">
        <v>244</v>
      </c>
      <c r="AH70" s="3" t="s">
        <v>322</v>
      </c>
      <c r="AI70" s="3" t="s">
        <v>18</v>
      </c>
      <c r="AJ70" s="3"/>
    </row>
    <row r="71" ht="15.75" customHeight="1"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J73" s="3"/>
    </row>
    <row r="74" ht="15.75" customHeight="1">
      <c r="AJ74" s="3"/>
    </row>
    <row r="75" ht="15.75" customHeight="1">
      <c r="AJ75" s="3"/>
    </row>
    <row r="76" ht="15.75" customHeight="1">
      <c r="AJ76" s="3"/>
    </row>
    <row r="77" ht="15.75" customHeight="1">
      <c r="AJ77" s="3"/>
    </row>
    <row r="78" ht="15.75" customHeight="1">
      <c r="AJ78" s="3"/>
    </row>
    <row r="79" ht="15.75" customHeight="1">
      <c r="AJ79" s="3"/>
    </row>
    <row r="80" ht="15.75" customHeight="1">
      <c r="AJ80" s="3"/>
    </row>
    <row r="81" ht="15.75" customHeight="1">
      <c r="AJ81" s="3"/>
    </row>
    <row r="82" ht="15.75" customHeight="1">
      <c r="AJ82" s="3"/>
    </row>
    <row r="83" ht="15.75" customHeight="1">
      <c r="AJ83" s="3"/>
    </row>
    <row r="84" ht="15.75" customHeight="1">
      <c r="AJ84" s="3"/>
    </row>
    <row r="85" ht="15.75" customHeight="1">
      <c r="AJ85" s="3"/>
    </row>
    <row r="86" ht="15.75" customHeight="1">
      <c r="AJ86" s="3"/>
    </row>
    <row r="87" ht="15.75" customHeight="1">
      <c r="AJ87" s="3"/>
    </row>
    <row r="88" ht="15.75" customHeight="1">
      <c r="AJ88" s="3"/>
    </row>
    <row r="89" ht="15.75" customHeight="1">
      <c r="AJ89" s="3"/>
    </row>
    <row r="90" ht="15.75" customHeight="1">
      <c r="AJ90" s="3"/>
    </row>
    <row r="91" ht="15.75" customHeight="1">
      <c r="AJ91" s="3"/>
    </row>
    <row r="92" ht="15.75" customHeight="1">
      <c r="AJ92" s="3"/>
    </row>
    <row r="93" ht="15.75" customHeight="1">
      <c r="AJ93" s="3"/>
    </row>
    <row r="94" ht="15.75" customHeight="1">
      <c r="AJ94" s="3"/>
    </row>
    <row r="95" ht="15.75" customHeight="1">
      <c r="AJ95" s="3"/>
    </row>
    <row r="96" ht="15.75" customHeight="1">
      <c r="AJ96" s="3"/>
    </row>
    <row r="97" ht="15.75" customHeight="1">
      <c r="AJ97" s="3"/>
    </row>
    <row r="98" ht="15.75" customHeight="1">
      <c r="AJ98" s="3"/>
    </row>
    <row r="99" ht="15.75" customHeight="1">
      <c r="AJ99" s="3"/>
    </row>
    <row r="100" ht="15.75" customHeight="1">
      <c r="AJ100" s="3"/>
    </row>
    <row r="101" ht="15.75" customHeight="1">
      <c r="AJ101" s="3"/>
    </row>
    <row r="102" ht="15.75" customHeight="1">
      <c r="AJ102" s="3"/>
    </row>
    <row r="103" ht="15.75" customHeight="1">
      <c r="AJ103" s="3"/>
    </row>
    <row r="104" ht="15.75" customHeight="1">
      <c r="AJ104" s="3"/>
    </row>
    <row r="105" ht="15.75" customHeight="1">
      <c r="AJ105" s="3"/>
    </row>
    <row r="106" ht="15.75" customHeight="1">
      <c r="AJ106" s="3"/>
    </row>
    <row r="107" ht="15.75" customHeight="1">
      <c r="AJ107" s="3"/>
    </row>
    <row r="108" ht="15.75" customHeight="1">
      <c r="AJ108" s="3"/>
    </row>
    <row r="109" ht="15.75" customHeight="1">
      <c r="AJ109" s="3"/>
    </row>
    <row r="110" ht="15.75" customHeight="1">
      <c r="AJ110" s="3"/>
    </row>
    <row r="111" ht="15.75" customHeight="1">
      <c r="AJ111" s="3"/>
    </row>
    <row r="112" ht="15.75" customHeight="1">
      <c r="AJ112" s="3"/>
    </row>
    <row r="113" ht="15.75" customHeight="1">
      <c r="AJ113" s="3"/>
    </row>
    <row r="114" ht="15.75" customHeight="1">
      <c r="AJ114" s="3"/>
    </row>
    <row r="115" ht="15.75" customHeight="1">
      <c r="AJ115" s="3"/>
    </row>
    <row r="116" ht="15.75" customHeight="1">
      <c r="AJ116" s="3"/>
    </row>
    <row r="117" ht="15.75" customHeight="1">
      <c r="AJ117" s="3"/>
    </row>
    <row r="118" ht="15.75" customHeight="1">
      <c r="AJ118" s="3"/>
    </row>
    <row r="119" ht="15.75" customHeight="1">
      <c r="AJ119" s="3"/>
    </row>
    <row r="120" ht="15.75" customHeight="1">
      <c r="AJ120" s="3"/>
    </row>
    <row r="121" ht="15.75" customHeight="1">
      <c r="AJ121" s="3"/>
    </row>
    <row r="122" ht="15.75" customHeight="1">
      <c r="AJ122" s="3"/>
    </row>
    <row r="123" ht="15.75" customHeight="1">
      <c r="AJ123" s="3"/>
    </row>
    <row r="124" ht="15.75" customHeight="1">
      <c r="AJ124" s="3"/>
    </row>
    <row r="125" ht="15.75" customHeight="1">
      <c r="AJ125" s="3"/>
    </row>
    <row r="126" ht="15.75" customHeight="1">
      <c r="AJ126" s="3"/>
    </row>
    <row r="127" ht="15.75" customHeight="1">
      <c r="AJ127" s="3"/>
    </row>
    <row r="128" ht="15.75" customHeight="1">
      <c r="AJ128" s="3"/>
    </row>
    <row r="129" ht="15.75" customHeight="1">
      <c r="AJ129" s="3"/>
    </row>
    <row r="130" ht="15.75" customHeight="1">
      <c r="AJ130" s="3"/>
    </row>
    <row r="131" ht="15.75" customHeight="1">
      <c r="AJ131" s="3"/>
    </row>
    <row r="132" ht="15.75" customHeight="1">
      <c r="AJ132" s="3"/>
    </row>
    <row r="133" ht="15.75" customHeight="1">
      <c r="AJ133" s="3"/>
    </row>
    <row r="134" ht="15.75" customHeight="1">
      <c r="AJ134" s="3"/>
    </row>
    <row r="135" ht="15.75" customHeight="1">
      <c r="AJ135" s="3"/>
    </row>
    <row r="136" ht="15.75" customHeight="1">
      <c r="AJ136" s="3"/>
    </row>
    <row r="137" ht="15.75" customHeight="1">
      <c r="AJ137" s="3"/>
    </row>
    <row r="138" ht="15.75" customHeight="1">
      <c r="AJ138" s="3"/>
    </row>
    <row r="139" ht="15.75" customHeight="1">
      <c r="AJ139" s="3"/>
    </row>
    <row r="140" ht="15.75" customHeight="1">
      <c r="AJ140" s="3"/>
    </row>
    <row r="141" ht="15.75" customHeight="1">
      <c r="AJ141" s="3"/>
    </row>
    <row r="142" ht="15.75" customHeight="1">
      <c r="AJ142" s="3"/>
    </row>
    <row r="143" ht="15.75" customHeight="1">
      <c r="AJ143" s="3"/>
    </row>
    <row r="144" ht="15.75" customHeight="1">
      <c r="AJ144" s="3"/>
    </row>
    <row r="145" ht="15.75" customHeight="1">
      <c r="AJ145" s="3"/>
    </row>
    <row r="146" ht="15.75" customHeight="1">
      <c r="AJ146" s="3"/>
    </row>
    <row r="147" ht="15.75" customHeight="1">
      <c r="AJ147" s="3"/>
    </row>
    <row r="148" ht="15.75" customHeight="1">
      <c r="AJ148" s="3"/>
    </row>
    <row r="149" ht="15.75" customHeight="1">
      <c r="AJ149" s="3"/>
    </row>
    <row r="150" ht="15.75" customHeight="1">
      <c r="AJ150" s="3"/>
    </row>
    <row r="151" ht="15.75" customHeight="1">
      <c r="AJ151" s="3"/>
    </row>
    <row r="152" ht="15.75" customHeight="1">
      <c r="AJ152" s="3"/>
    </row>
    <row r="153" ht="15.75" customHeight="1">
      <c r="AJ153" s="3"/>
    </row>
    <row r="154" ht="15.75" customHeight="1">
      <c r="AJ154" s="3"/>
    </row>
    <row r="155" ht="15.75" customHeight="1">
      <c r="AJ155" s="3"/>
    </row>
    <row r="156" ht="15.75" customHeight="1">
      <c r="AJ156" s="3"/>
    </row>
    <row r="157" ht="15.75" customHeight="1">
      <c r="AJ157" s="3"/>
    </row>
    <row r="158" ht="15.75" customHeight="1">
      <c r="AJ158" s="3"/>
    </row>
    <row r="159" ht="15.75" customHeight="1">
      <c r="AJ159" s="3"/>
    </row>
    <row r="160" ht="15.75" customHeight="1">
      <c r="AJ160" s="3"/>
    </row>
    <row r="161" ht="15.75" customHeight="1">
      <c r="AJ161" s="3"/>
    </row>
    <row r="162" ht="15.75" customHeight="1">
      <c r="AJ162" s="3"/>
    </row>
    <row r="163" ht="15.75" customHeight="1">
      <c r="AJ163" s="3"/>
    </row>
    <row r="164" ht="15.75" customHeight="1">
      <c r="AJ164" s="3"/>
    </row>
    <row r="165" ht="15.75" customHeight="1">
      <c r="AJ165" s="3"/>
    </row>
    <row r="166" ht="15.75" customHeight="1">
      <c r="AJ166" s="3"/>
    </row>
    <row r="167" ht="15.75" customHeight="1">
      <c r="AJ167" s="3"/>
    </row>
    <row r="168" ht="15.75" customHeight="1">
      <c r="AJ168" s="3"/>
    </row>
    <row r="169" ht="15.75" customHeight="1">
      <c r="AJ169" s="3"/>
    </row>
    <row r="170" ht="15.75" customHeight="1">
      <c r="AJ170" s="3"/>
    </row>
    <row r="171" ht="15.75" customHeight="1">
      <c r="AJ171" s="3"/>
    </row>
    <row r="172" ht="15.75" customHeight="1">
      <c r="AJ172" s="3"/>
    </row>
    <row r="173" ht="15.75" customHeight="1">
      <c r="AJ173" s="3"/>
    </row>
    <row r="174" ht="15.75" customHeight="1">
      <c r="AJ174" s="3"/>
    </row>
    <row r="175" ht="15.75" customHeight="1">
      <c r="AJ175" s="3"/>
    </row>
    <row r="176" ht="15.75" customHeight="1">
      <c r="AJ176" s="3"/>
    </row>
    <row r="177" ht="15.75" customHeight="1">
      <c r="AJ177" s="3"/>
    </row>
    <row r="178" ht="15.75" customHeight="1">
      <c r="AJ178" s="3"/>
    </row>
    <row r="179" ht="15.75" customHeight="1">
      <c r="AJ179" s="3"/>
    </row>
    <row r="180" ht="15.75" customHeight="1">
      <c r="AJ180" s="3"/>
    </row>
    <row r="181" ht="15.75" customHeight="1">
      <c r="AJ181" s="3"/>
    </row>
    <row r="182" ht="15.75" customHeight="1">
      <c r="AJ182" s="3"/>
    </row>
    <row r="183" ht="15.75" customHeight="1">
      <c r="AJ183" s="3"/>
    </row>
    <row r="184" ht="15.75" customHeight="1">
      <c r="AJ184" s="3"/>
    </row>
    <row r="185" ht="15.75" customHeight="1">
      <c r="AJ185" s="3"/>
    </row>
    <row r="186" ht="15.75" customHeight="1">
      <c r="AJ186" s="3"/>
    </row>
    <row r="187" ht="15.75" customHeight="1">
      <c r="AJ187" s="3"/>
    </row>
    <row r="188" ht="15.75" customHeight="1">
      <c r="AJ188" s="3"/>
    </row>
    <row r="189" ht="15.75" customHeight="1">
      <c r="AJ189" s="3"/>
    </row>
    <row r="190" ht="15.75" customHeight="1">
      <c r="AJ190" s="3"/>
    </row>
    <row r="191" ht="15.75" customHeight="1">
      <c r="AJ191" s="3"/>
    </row>
    <row r="192" ht="15.75" customHeight="1">
      <c r="AJ192" s="3"/>
    </row>
    <row r="193" ht="15.75" customHeight="1">
      <c r="AJ193" s="3"/>
    </row>
    <row r="194" ht="15.75" customHeight="1">
      <c r="AJ194" s="3"/>
    </row>
    <row r="195" ht="15.75" customHeight="1">
      <c r="AJ195" s="3"/>
    </row>
    <row r="196" ht="15.75" customHeight="1">
      <c r="AJ196" s="3"/>
    </row>
    <row r="197" ht="15.75" customHeight="1">
      <c r="AJ197" s="3"/>
    </row>
    <row r="198" ht="15.75" customHeight="1">
      <c r="AJ198" s="3"/>
    </row>
    <row r="199" ht="15.75" customHeight="1">
      <c r="AJ199" s="3"/>
    </row>
    <row r="200" ht="15.75" customHeight="1">
      <c r="AJ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B23">
    <cfRule type="expression" dxfId="0" priority="1">
      <formula>$B$18&lt;&gt;"SIM"</formula>
    </cfRule>
  </conditionalFormatting>
  <conditionalFormatting sqref="B22">
    <cfRule type="expression" dxfId="1" priority="2">
      <formula>$B$18="SIM"</formula>
    </cfRule>
  </conditionalFormatting>
  <dataValidations>
    <dataValidation type="list" allowBlank="1" sqref="B5">
      <formula1>regras_periodo!$A$2:$A$9</formula1>
    </dataValidation>
    <dataValidation type="list" allowBlank="1" sqref="B6">
      <formula1>"SIM,NÃO"</formula1>
    </dataValidation>
    <dataValidation type="list" allowBlank="1" sqref="B26:B65">
      <formula1>$AA$2:$AA$200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7.88"/>
  </cols>
  <sheetData>
    <row r="1" ht="15.75" customHeight="1">
      <c r="A1" s="28" t="s">
        <v>323</v>
      </c>
      <c r="B1" s="28" t="s">
        <v>324</v>
      </c>
      <c r="C1" s="28" t="s">
        <v>325</v>
      </c>
      <c r="D1" s="28" t="s">
        <v>326</v>
      </c>
      <c r="E1" s="28" t="s">
        <v>327</v>
      </c>
      <c r="F1" s="28" t="s">
        <v>328</v>
      </c>
      <c r="G1" s="28" t="s">
        <v>329</v>
      </c>
      <c r="H1" s="28" t="s">
        <v>330</v>
      </c>
      <c r="I1" s="28" t="s">
        <v>331</v>
      </c>
    </row>
    <row r="2" ht="15.75" customHeight="1">
      <c r="A2" s="28" t="s">
        <v>332</v>
      </c>
      <c r="B2" s="28" t="s">
        <v>333</v>
      </c>
      <c r="C2" s="28">
        <v>1.0</v>
      </c>
      <c r="D2" s="28" t="s">
        <v>43</v>
      </c>
      <c r="E2" s="29" t="s">
        <v>126</v>
      </c>
      <c r="F2" s="28" t="s">
        <v>334</v>
      </c>
      <c r="G2" s="28">
        <v>1.0</v>
      </c>
      <c r="H2" s="28" t="s">
        <v>335</v>
      </c>
      <c r="I2" s="28"/>
    </row>
    <row r="3" ht="15.75" customHeight="1">
      <c r="A3" s="28" t="s">
        <v>336</v>
      </c>
      <c r="B3" s="28" t="s">
        <v>333</v>
      </c>
      <c r="C3" s="28">
        <v>2.0</v>
      </c>
      <c r="D3" s="28" t="s">
        <v>43</v>
      </c>
      <c r="E3" s="30" t="s">
        <v>90</v>
      </c>
      <c r="F3" s="28" t="s">
        <v>334</v>
      </c>
      <c r="G3" s="28">
        <v>2.0</v>
      </c>
      <c r="H3" s="28" t="s">
        <v>337</v>
      </c>
      <c r="I3" s="28"/>
    </row>
    <row r="4" ht="15.75" customHeight="1">
      <c r="A4" s="28" t="s">
        <v>338</v>
      </c>
      <c r="B4" s="28" t="s">
        <v>333</v>
      </c>
      <c r="C4" s="28">
        <v>3.0</v>
      </c>
      <c r="D4" s="28" t="s">
        <v>43</v>
      </c>
      <c r="E4" s="30" t="s">
        <v>170</v>
      </c>
      <c r="F4" s="28" t="s">
        <v>334</v>
      </c>
      <c r="G4" s="28">
        <v>3.0</v>
      </c>
      <c r="H4" s="28" t="s">
        <v>339</v>
      </c>
      <c r="I4" s="28"/>
    </row>
    <row r="5" ht="15.75" customHeight="1">
      <c r="A5" s="28" t="s">
        <v>340</v>
      </c>
      <c r="B5" s="28" t="s">
        <v>333</v>
      </c>
      <c r="C5" s="28">
        <v>4.0</v>
      </c>
      <c r="D5" s="28" t="s">
        <v>43</v>
      </c>
      <c r="E5" s="30" t="s">
        <v>193</v>
      </c>
      <c r="F5" s="28" t="s">
        <v>334</v>
      </c>
      <c r="G5" s="28">
        <v>4.0</v>
      </c>
      <c r="H5" s="28" t="s">
        <v>341</v>
      </c>
      <c r="I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0"/>
    <col customWidth="1" min="3" max="5" width="22.0"/>
    <col customWidth="1" min="6" max="6" width="40.0"/>
    <col customWidth="1" min="7" max="7" width="14.63"/>
    <col customWidth="1" min="8" max="8" width="15.25"/>
    <col customWidth="1" min="9" max="9" width="18.63"/>
    <col customWidth="1" min="10" max="10" width="18.88"/>
    <col customWidth="1" min="11" max="11" width="8.25"/>
    <col customWidth="1" min="12" max="12" width="11.75"/>
    <col customWidth="1" min="13" max="13" width="11.13"/>
    <col customWidth="1" min="14" max="14" width="10.75"/>
    <col customWidth="1" min="15" max="15" width="14.5"/>
    <col customWidth="1" min="16" max="16" width="8.25"/>
    <col customWidth="1" min="17" max="17" width="9.38"/>
    <col customWidth="1" min="18" max="18" width="0.38"/>
    <col customWidth="1" min="19" max="19" width="13.88"/>
    <col customWidth="1" min="20" max="20" width="17.88"/>
    <col customWidth="1" min="21" max="21" width="15.63"/>
    <col customWidth="1" min="22" max="22" width="11.5"/>
    <col customWidth="1" min="23" max="23" width="11.13"/>
    <col customWidth="1" min="24" max="24" width="15.25"/>
    <col customWidth="1" min="25" max="25" width="5.13"/>
    <col customWidth="1" min="26" max="26" width="41.38"/>
    <col customWidth="1" min="27" max="40" width="8.63"/>
    <col customWidth="1" min="41" max="41" width="8.75"/>
    <col customWidth="1" min="42" max="42" width="16.0"/>
    <col customWidth="1" min="43" max="43" width="17.0"/>
    <col customWidth="1" min="44" max="44" width="40.0"/>
  </cols>
  <sheetData>
    <row r="1" ht="30.0" customHeight="1">
      <c r="A1" s="31"/>
      <c r="B1" s="31" t="s">
        <v>342</v>
      </c>
      <c r="C1" s="31" t="s">
        <v>3</v>
      </c>
      <c r="D1" s="32" t="s">
        <v>343</v>
      </c>
      <c r="E1" s="31" t="s">
        <v>326</v>
      </c>
      <c r="F1" s="31" t="s">
        <v>8</v>
      </c>
      <c r="G1" s="31" t="s">
        <v>344</v>
      </c>
      <c r="H1" s="31" t="s">
        <v>345</v>
      </c>
      <c r="I1" s="31" t="s">
        <v>346</v>
      </c>
      <c r="J1" s="31" t="s">
        <v>347</v>
      </c>
      <c r="K1" s="31" t="s">
        <v>7</v>
      </c>
      <c r="L1" s="31" t="s">
        <v>348</v>
      </c>
      <c r="M1" s="33" t="s">
        <v>349</v>
      </c>
      <c r="N1" s="31" t="s">
        <v>350</v>
      </c>
      <c r="O1" s="31" t="s">
        <v>351</v>
      </c>
      <c r="P1" s="31" t="s">
        <v>352</v>
      </c>
      <c r="Q1" s="33" t="s">
        <v>353</v>
      </c>
      <c r="R1" s="33" t="s">
        <v>354</v>
      </c>
      <c r="S1" s="31" t="s">
        <v>355</v>
      </c>
      <c r="T1" s="33" t="s">
        <v>356</v>
      </c>
      <c r="U1" s="33" t="s">
        <v>357</v>
      </c>
      <c r="V1" s="33" t="s">
        <v>358</v>
      </c>
      <c r="W1" s="33" t="s">
        <v>359</v>
      </c>
      <c r="X1" s="31" t="s">
        <v>360</v>
      </c>
      <c r="Y1" s="31" t="s">
        <v>328</v>
      </c>
      <c r="Z1" s="31" t="s">
        <v>361</v>
      </c>
      <c r="AA1" s="34" t="s">
        <v>362</v>
      </c>
      <c r="AB1" s="34" t="s">
        <v>363</v>
      </c>
      <c r="AC1" s="34" t="s">
        <v>364</v>
      </c>
      <c r="AD1" s="34" t="s">
        <v>365</v>
      </c>
      <c r="AE1" s="34" t="s">
        <v>366</v>
      </c>
      <c r="AF1" s="34" t="s">
        <v>367</v>
      </c>
      <c r="AG1" s="34" t="s">
        <v>368</v>
      </c>
      <c r="AH1" s="34" t="s">
        <v>369</v>
      </c>
      <c r="AI1" s="34" t="s">
        <v>370</v>
      </c>
      <c r="AJ1" s="34" t="s">
        <v>371</v>
      </c>
      <c r="AK1" s="34" t="s">
        <v>372</v>
      </c>
      <c r="AL1" s="34" t="s">
        <v>373</v>
      </c>
      <c r="AM1" s="34" t="s">
        <v>374</v>
      </c>
      <c r="AN1" s="35" t="s">
        <v>375</v>
      </c>
      <c r="AO1" s="35" t="s">
        <v>376</v>
      </c>
      <c r="AP1" s="34" t="s">
        <v>10</v>
      </c>
      <c r="AQ1" s="36" t="s">
        <v>377</v>
      </c>
      <c r="AR1" s="37" t="s">
        <v>378</v>
      </c>
    </row>
    <row r="2" ht="15.75" customHeight="1">
      <c r="A2" s="38" t="s">
        <v>379</v>
      </c>
      <c r="B2" s="38">
        <v>0.0</v>
      </c>
      <c r="C2" s="38" t="s">
        <v>380</v>
      </c>
      <c r="D2" s="38" t="s">
        <v>381</v>
      </c>
      <c r="E2" s="39" t="s">
        <v>382</v>
      </c>
      <c r="F2" s="39" t="s">
        <v>383</v>
      </c>
      <c r="G2" s="39" t="s">
        <v>384</v>
      </c>
      <c r="H2" s="39" t="s">
        <v>385</v>
      </c>
      <c r="I2" s="39" t="s">
        <v>386</v>
      </c>
      <c r="J2" s="39" t="s">
        <v>243</v>
      </c>
      <c r="K2" s="39" t="s">
        <v>16</v>
      </c>
      <c r="L2" s="40"/>
      <c r="M2" s="41">
        <v>0.0</v>
      </c>
      <c r="N2" s="40"/>
      <c r="O2" s="40"/>
      <c r="P2" s="42" t="s">
        <v>387</v>
      </c>
      <c r="Q2" s="41">
        <v>0.0</v>
      </c>
      <c r="R2" s="41">
        <v>0.0</v>
      </c>
      <c r="S2" s="42">
        <v>0.0</v>
      </c>
      <c r="T2" s="41">
        <v>0.0</v>
      </c>
      <c r="U2" s="41">
        <v>0.0</v>
      </c>
      <c r="V2" s="41">
        <v>0.0</v>
      </c>
      <c r="W2" s="41">
        <v>0.0</v>
      </c>
      <c r="X2" s="39" t="s">
        <v>388</v>
      </c>
      <c r="Y2" s="39" t="s">
        <v>389</v>
      </c>
      <c r="Z2" s="40"/>
      <c r="AA2" s="39" t="s">
        <v>390</v>
      </c>
      <c r="AB2" s="39" t="s">
        <v>391</v>
      </c>
      <c r="AC2" s="39" t="s">
        <v>391</v>
      </c>
      <c r="AD2" s="39" t="s">
        <v>46</v>
      </c>
      <c r="AE2" s="39" t="s">
        <v>46</v>
      </c>
      <c r="AF2" s="40"/>
      <c r="AG2" s="40"/>
      <c r="AH2" s="39" t="s">
        <v>391</v>
      </c>
      <c r="AI2" s="39" t="s">
        <v>46</v>
      </c>
      <c r="AJ2" s="39" t="s">
        <v>391</v>
      </c>
      <c r="AK2" s="39" t="s">
        <v>392</v>
      </c>
      <c r="AL2" s="39" t="s">
        <v>393</v>
      </c>
      <c r="AM2" s="39">
        <v>2.2</v>
      </c>
      <c r="AN2" s="39">
        <v>1.0</v>
      </c>
      <c r="AO2" s="39" t="s">
        <v>394</v>
      </c>
      <c r="AP2" s="39" t="str">
        <f t="shared" ref="AP2:AP26" si="1">IF($AA2="prato_principal","SIM","NÃO")</f>
        <v>NÃO</v>
      </c>
      <c r="AQ2" s="43" t="s">
        <v>395</v>
      </c>
      <c r="AR2" s="40" t="s">
        <v>396</v>
      </c>
    </row>
    <row r="3" ht="15.75" customHeight="1">
      <c r="A3" s="38" t="s">
        <v>12</v>
      </c>
      <c r="B3" s="38">
        <v>0.0</v>
      </c>
      <c r="C3" s="38" t="s">
        <v>380</v>
      </c>
      <c r="D3" s="38" t="s">
        <v>381</v>
      </c>
      <c r="E3" s="39" t="s">
        <v>382</v>
      </c>
      <c r="F3" s="39" t="s">
        <v>397</v>
      </c>
      <c r="G3" s="39" t="s">
        <v>384</v>
      </c>
      <c r="H3" s="39" t="s">
        <v>385</v>
      </c>
      <c r="I3" s="39" t="s">
        <v>386</v>
      </c>
      <c r="J3" s="39" t="s">
        <v>15</v>
      </c>
      <c r="K3" s="39" t="s">
        <v>16</v>
      </c>
      <c r="L3" s="40"/>
      <c r="M3" s="41">
        <v>0.0</v>
      </c>
      <c r="N3" s="40"/>
      <c r="O3" s="40"/>
      <c r="P3" s="42" t="s">
        <v>387</v>
      </c>
      <c r="Q3" s="41">
        <v>0.0</v>
      </c>
      <c r="R3" s="41">
        <v>0.0</v>
      </c>
      <c r="S3" s="42">
        <v>0.0</v>
      </c>
      <c r="T3" s="41">
        <v>0.0</v>
      </c>
      <c r="U3" s="41">
        <v>0.0</v>
      </c>
      <c r="V3" s="41">
        <v>0.0</v>
      </c>
      <c r="W3" s="41">
        <v>0.0</v>
      </c>
      <c r="X3" s="39" t="s">
        <v>398</v>
      </c>
      <c r="Y3" s="39" t="s">
        <v>389</v>
      </c>
      <c r="Z3" s="40"/>
      <c r="AA3" s="39" t="s">
        <v>26</v>
      </c>
      <c r="AB3" s="39" t="s">
        <v>391</v>
      </c>
      <c r="AC3" s="39" t="s">
        <v>391</v>
      </c>
      <c r="AD3" s="39" t="s">
        <v>46</v>
      </c>
      <c r="AE3" s="39" t="s">
        <v>46</v>
      </c>
      <c r="AF3" s="40"/>
      <c r="AG3" s="40"/>
      <c r="AH3" s="39" t="s">
        <v>391</v>
      </c>
      <c r="AI3" s="39" t="s">
        <v>46</v>
      </c>
      <c r="AJ3" s="39" t="s">
        <v>391</v>
      </c>
      <c r="AK3" s="39" t="s">
        <v>392</v>
      </c>
      <c r="AL3" s="39" t="s">
        <v>399</v>
      </c>
      <c r="AM3" s="39">
        <v>10.0</v>
      </c>
      <c r="AN3" s="39">
        <v>9.0</v>
      </c>
      <c r="AO3" s="39" t="s">
        <v>400</v>
      </c>
      <c r="AP3" s="39" t="str">
        <f t="shared" si="1"/>
        <v>NÃO</v>
      </c>
      <c r="AQ3" s="43" t="s">
        <v>395</v>
      </c>
      <c r="AR3" s="40" t="s">
        <v>397</v>
      </c>
    </row>
    <row r="4" ht="15.75" customHeight="1">
      <c r="A4" s="38" t="s">
        <v>401</v>
      </c>
      <c r="B4" s="38">
        <v>0.0</v>
      </c>
      <c r="C4" s="42" t="s">
        <v>248</v>
      </c>
      <c r="D4" s="38" t="s">
        <v>381</v>
      </c>
      <c r="E4" s="39" t="s">
        <v>382</v>
      </c>
      <c r="F4" s="39" t="s">
        <v>402</v>
      </c>
      <c r="G4" s="39" t="s">
        <v>384</v>
      </c>
      <c r="H4" s="39" t="s">
        <v>385</v>
      </c>
      <c r="I4" s="39" t="s">
        <v>386</v>
      </c>
      <c r="J4" s="39" t="s">
        <v>15</v>
      </c>
      <c r="K4" s="39" t="s">
        <v>16</v>
      </c>
      <c r="L4" s="40"/>
      <c r="M4" s="41">
        <v>0.0</v>
      </c>
      <c r="N4" s="40"/>
      <c r="O4" s="40"/>
      <c r="P4" s="42" t="s">
        <v>387</v>
      </c>
      <c r="Q4" s="41">
        <v>0.0</v>
      </c>
      <c r="R4" s="41">
        <v>0.0</v>
      </c>
      <c r="S4" s="42">
        <v>0.0</v>
      </c>
      <c r="T4" s="41">
        <v>0.0</v>
      </c>
      <c r="U4" s="41">
        <v>0.0</v>
      </c>
      <c r="V4" s="41">
        <v>0.0</v>
      </c>
      <c r="W4" s="41">
        <v>0.0</v>
      </c>
      <c r="X4" s="39" t="s">
        <v>403</v>
      </c>
      <c r="Y4" s="39" t="s">
        <v>389</v>
      </c>
      <c r="Z4" s="40"/>
      <c r="AA4" s="39" t="s">
        <v>249</v>
      </c>
      <c r="AB4" s="39" t="s">
        <v>391</v>
      </c>
      <c r="AC4" s="39" t="s">
        <v>391</v>
      </c>
      <c r="AD4" s="39" t="s">
        <v>46</v>
      </c>
      <c r="AE4" s="39" t="s">
        <v>46</v>
      </c>
      <c r="AF4" s="39" t="s">
        <v>404</v>
      </c>
      <c r="AG4" s="39" t="s">
        <v>404</v>
      </c>
      <c r="AH4" s="39" t="s">
        <v>391</v>
      </c>
      <c r="AI4" s="39" t="s">
        <v>46</v>
      </c>
      <c r="AJ4" s="39" t="s">
        <v>391</v>
      </c>
      <c r="AK4" s="39" t="s">
        <v>392</v>
      </c>
      <c r="AL4" s="39" t="s">
        <v>405</v>
      </c>
      <c r="AM4" s="39">
        <v>8.0</v>
      </c>
      <c r="AN4" s="39">
        <v>12.0</v>
      </c>
      <c r="AO4" s="39" t="s">
        <v>406</v>
      </c>
      <c r="AP4" s="39" t="str">
        <f t="shared" si="1"/>
        <v>NÃO</v>
      </c>
      <c r="AQ4" s="43" t="s">
        <v>395</v>
      </c>
      <c r="AR4" s="40" t="s">
        <v>402</v>
      </c>
    </row>
    <row r="5" ht="15.75" customHeight="1">
      <c r="A5" s="38" t="s">
        <v>24</v>
      </c>
      <c r="B5" s="38">
        <v>0.0</v>
      </c>
      <c r="C5" s="42" t="s">
        <v>248</v>
      </c>
      <c r="D5" s="38" t="s">
        <v>381</v>
      </c>
      <c r="E5" s="39" t="s">
        <v>382</v>
      </c>
      <c r="F5" s="39" t="s">
        <v>407</v>
      </c>
      <c r="G5" s="39" t="s">
        <v>384</v>
      </c>
      <c r="H5" s="39" t="s">
        <v>385</v>
      </c>
      <c r="I5" s="39" t="s">
        <v>386</v>
      </c>
      <c r="J5" s="39" t="s">
        <v>15</v>
      </c>
      <c r="K5" s="39" t="s">
        <v>16</v>
      </c>
      <c r="L5" s="40"/>
      <c r="M5" s="41">
        <v>0.0</v>
      </c>
      <c r="N5" s="40"/>
      <c r="O5" s="40"/>
      <c r="P5" s="42" t="s">
        <v>387</v>
      </c>
      <c r="Q5" s="41">
        <v>0.0</v>
      </c>
      <c r="R5" s="41">
        <v>0.0</v>
      </c>
      <c r="S5" s="42">
        <v>3.0</v>
      </c>
      <c r="T5" s="41">
        <v>0.0</v>
      </c>
      <c r="U5" s="41">
        <v>0.0</v>
      </c>
      <c r="V5" s="41">
        <v>0.0</v>
      </c>
      <c r="W5" s="41">
        <v>0.0</v>
      </c>
      <c r="X5" s="39" t="s">
        <v>408</v>
      </c>
      <c r="Y5" s="39" t="s">
        <v>389</v>
      </c>
      <c r="Z5" s="40"/>
      <c r="AA5" s="39" t="s">
        <v>270</v>
      </c>
      <c r="AB5" s="39" t="s">
        <v>391</v>
      </c>
      <c r="AC5" s="39" t="s">
        <v>391</v>
      </c>
      <c r="AD5" s="39" t="s">
        <v>46</v>
      </c>
      <c r="AE5" s="39" t="s">
        <v>46</v>
      </c>
      <c r="AF5" s="40"/>
      <c r="AG5" s="40"/>
      <c r="AH5" s="39" t="s">
        <v>391</v>
      </c>
      <c r="AI5" s="39" t="s">
        <v>46</v>
      </c>
      <c r="AJ5" s="39" t="s">
        <v>391</v>
      </c>
      <c r="AK5" s="39" t="s">
        <v>392</v>
      </c>
      <c r="AL5" s="39" t="s">
        <v>409</v>
      </c>
      <c r="AM5" s="39">
        <v>3.5</v>
      </c>
      <c r="AN5" s="39">
        <v>1.0</v>
      </c>
      <c r="AO5" s="39" t="s">
        <v>410</v>
      </c>
      <c r="AP5" s="39" t="str">
        <f t="shared" si="1"/>
        <v>NÃO</v>
      </c>
      <c r="AQ5" s="43" t="s">
        <v>395</v>
      </c>
      <c r="AR5" s="40" t="s">
        <v>407</v>
      </c>
    </row>
    <row r="6" ht="15.75" customHeight="1">
      <c r="A6" s="38" t="s">
        <v>33</v>
      </c>
      <c r="B6" s="38">
        <v>0.0</v>
      </c>
      <c r="C6" s="44" t="s">
        <v>411</v>
      </c>
      <c r="D6" s="38" t="s">
        <v>381</v>
      </c>
      <c r="E6" s="39" t="s">
        <v>382</v>
      </c>
      <c r="F6" s="39" t="s">
        <v>412</v>
      </c>
      <c r="G6" s="39" t="s">
        <v>384</v>
      </c>
      <c r="H6" s="39" t="s">
        <v>385</v>
      </c>
      <c r="I6" s="39" t="s">
        <v>386</v>
      </c>
      <c r="J6" s="39" t="s">
        <v>15</v>
      </c>
      <c r="K6" s="39" t="s">
        <v>16</v>
      </c>
      <c r="L6" s="40"/>
      <c r="M6" s="41">
        <v>0.0</v>
      </c>
      <c r="N6" s="40"/>
      <c r="O6" s="40"/>
      <c r="P6" s="42" t="s">
        <v>413</v>
      </c>
      <c r="Q6" s="41">
        <v>0.0</v>
      </c>
      <c r="R6" s="41">
        <v>0.0</v>
      </c>
      <c r="S6" s="42">
        <v>0.0</v>
      </c>
      <c r="T6" s="41">
        <v>0.0</v>
      </c>
      <c r="U6" s="41">
        <v>0.0</v>
      </c>
      <c r="V6" s="41">
        <v>0.0</v>
      </c>
      <c r="W6" s="41">
        <v>0.0</v>
      </c>
      <c r="X6" s="39" t="s">
        <v>414</v>
      </c>
      <c r="Y6" s="39" t="s">
        <v>389</v>
      </c>
      <c r="Z6" s="40"/>
      <c r="AA6" s="39" t="s">
        <v>390</v>
      </c>
      <c r="AB6" s="39" t="s">
        <v>391</v>
      </c>
      <c r="AC6" s="39" t="s">
        <v>391</v>
      </c>
      <c r="AD6" s="39" t="s">
        <v>46</v>
      </c>
      <c r="AE6" s="39" t="s">
        <v>46</v>
      </c>
      <c r="AF6" s="40"/>
      <c r="AG6" s="40"/>
      <c r="AH6" s="39" t="s">
        <v>391</v>
      </c>
      <c r="AI6" s="39" t="s">
        <v>46</v>
      </c>
      <c r="AJ6" s="39" t="s">
        <v>391</v>
      </c>
      <c r="AK6" s="39" t="s">
        <v>392</v>
      </c>
      <c r="AL6" s="39" t="s">
        <v>393</v>
      </c>
      <c r="AM6" s="39">
        <v>10.0</v>
      </c>
      <c r="AN6" s="39">
        <v>9.0</v>
      </c>
      <c r="AO6" s="39" t="s">
        <v>400</v>
      </c>
      <c r="AP6" s="39" t="str">
        <f t="shared" si="1"/>
        <v>NÃO</v>
      </c>
      <c r="AQ6" s="43" t="s">
        <v>395</v>
      </c>
      <c r="AR6" s="40" t="s">
        <v>412</v>
      </c>
    </row>
    <row r="7" ht="15.75" customHeight="1">
      <c r="A7" s="38" t="s">
        <v>415</v>
      </c>
      <c r="B7" s="38">
        <v>0.0</v>
      </c>
      <c r="C7" s="44" t="s">
        <v>416</v>
      </c>
      <c r="D7" s="38" t="s">
        <v>381</v>
      </c>
      <c r="E7" s="39" t="s">
        <v>382</v>
      </c>
      <c r="F7" s="39" t="s">
        <v>417</v>
      </c>
      <c r="G7" s="39" t="s">
        <v>418</v>
      </c>
      <c r="H7" s="39" t="s">
        <v>419</v>
      </c>
      <c r="I7" s="39" t="s">
        <v>386</v>
      </c>
      <c r="J7" s="39" t="s">
        <v>15</v>
      </c>
      <c r="K7" s="39" t="s">
        <v>16</v>
      </c>
      <c r="L7" s="40"/>
      <c r="M7" s="41">
        <v>0.0</v>
      </c>
      <c r="N7" s="40"/>
      <c r="O7" s="40"/>
      <c r="P7" s="42" t="s">
        <v>387</v>
      </c>
      <c r="Q7" s="45">
        <v>0.0</v>
      </c>
      <c r="R7" s="45">
        <v>0.0</v>
      </c>
      <c r="S7" s="42">
        <v>0.0</v>
      </c>
      <c r="T7" s="45">
        <v>0.0</v>
      </c>
      <c r="U7" s="45">
        <v>0.0</v>
      </c>
      <c r="V7" s="45">
        <v>0.0</v>
      </c>
      <c r="W7" s="45">
        <v>0.0</v>
      </c>
      <c r="X7" s="40" t="s">
        <v>420</v>
      </c>
      <c r="Y7" s="39" t="s">
        <v>389</v>
      </c>
      <c r="Z7" s="40"/>
      <c r="AA7" s="39" t="s">
        <v>174</v>
      </c>
      <c r="AB7" s="46" t="s">
        <v>391</v>
      </c>
      <c r="AC7" s="46" t="s">
        <v>391</v>
      </c>
      <c r="AD7" s="46" t="s">
        <v>395</v>
      </c>
      <c r="AE7" s="39" t="s">
        <v>46</v>
      </c>
      <c r="AF7" s="40"/>
      <c r="AG7" s="40"/>
      <c r="AH7" s="46" t="s">
        <v>391</v>
      </c>
      <c r="AI7" s="39" t="s">
        <v>46</v>
      </c>
      <c r="AJ7" s="39" t="s">
        <v>391</v>
      </c>
      <c r="AK7" s="39" t="s">
        <v>421</v>
      </c>
      <c r="AL7" s="39" t="s">
        <v>422</v>
      </c>
      <c r="AM7" s="40">
        <v>10.0</v>
      </c>
      <c r="AN7" s="40">
        <v>2.5</v>
      </c>
      <c r="AO7" s="40" t="s">
        <v>400</v>
      </c>
      <c r="AP7" s="39" t="str">
        <f t="shared" si="1"/>
        <v>NÃO</v>
      </c>
      <c r="AQ7" s="43" t="s">
        <v>395</v>
      </c>
      <c r="AR7" s="40" t="s">
        <v>417</v>
      </c>
    </row>
    <row r="8" ht="15.75" customHeight="1">
      <c r="A8" s="38" t="s">
        <v>41</v>
      </c>
      <c r="B8" s="38">
        <v>0.0</v>
      </c>
      <c r="C8" s="44" t="s">
        <v>423</v>
      </c>
      <c r="D8" s="38" t="s">
        <v>381</v>
      </c>
      <c r="E8" s="39" t="s">
        <v>382</v>
      </c>
      <c r="F8" s="39" t="s">
        <v>424</v>
      </c>
      <c r="G8" s="39" t="s">
        <v>384</v>
      </c>
      <c r="H8" s="39" t="s">
        <v>385</v>
      </c>
      <c r="I8" s="39" t="s">
        <v>386</v>
      </c>
      <c r="J8" s="39" t="s">
        <v>15</v>
      </c>
      <c r="K8" s="39" t="s">
        <v>16</v>
      </c>
      <c r="L8" s="40"/>
      <c r="M8" s="41">
        <v>0.0</v>
      </c>
      <c r="N8" s="40"/>
      <c r="O8" s="40"/>
      <c r="P8" s="42" t="s">
        <v>387</v>
      </c>
      <c r="Q8" s="41">
        <v>0.0</v>
      </c>
      <c r="R8" s="41">
        <v>0.0</v>
      </c>
      <c r="S8" s="42">
        <v>0.0</v>
      </c>
      <c r="T8" s="41">
        <v>0.0</v>
      </c>
      <c r="U8" s="41">
        <v>0.0</v>
      </c>
      <c r="V8" s="41">
        <v>0.0</v>
      </c>
      <c r="W8" s="41">
        <v>0.0</v>
      </c>
      <c r="X8" s="39" t="s">
        <v>425</v>
      </c>
      <c r="Y8" s="39" t="s">
        <v>389</v>
      </c>
      <c r="Z8" s="40"/>
      <c r="AA8" s="39" t="s">
        <v>390</v>
      </c>
      <c r="AB8" s="39" t="s">
        <v>391</v>
      </c>
      <c r="AC8" s="39" t="s">
        <v>391</v>
      </c>
      <c r="AD8" s="39" t="s">
        <v>46</v>
      </c>
      <c r="AE8" s="39" t="s">
        <v>46</v>
      </c>
      <c r="AF8" s="40"/>
      <c r="AG8" s="40"/>
      <c r="AH8" s="39" t="s">
        <v>391</v>
      </c>
      <c r="AI8" s="39" t="s">
        <v>46</v>
      </c>
      <c r="AJ8" s="39" t="s">
        <v>391</v>
      </c>
      <c r="AK8" s="39" t="s">
        <v>392</v>
      </c>
      <c r="AL8" s="39" t="s">
        <v>393</v>
      </c>
      <c r="AM8" s="39">
        <v>5.0</v>
      </c>
      <c r="AN8" s="39">
        <v>2.0</v>
      </c>
      <c r="AO8" s="39" t="s">
        <v>426</v>
      </c>
      <c r="AP8" s="39" t="str">
        <f t="shared" si="1"/>
        <v>NÃO</v>
      </c>
      <c r="AQ8" s="43" t="s">
        <v>395</v>
      </c>
      <c r="AR8" s="40" t="s">
        <v>424</v>
      </c>
    </row>
    <row r="9" ht="15.75" customHeight="1">
      <c r="A9" s="38" t="s">
        <v>50</v>
      </c>
      <c r="B9" s="38">
        <v>0.0</v>
      </c>
      <c r="C9" s="44" t="s">
        <v>427</v>
      </c>
      <c r="D9" s="38" t="s">
        <v>381</v>
      </c>
      <c r="E9" s="39" t="s">
        <v>382</v>
      </c>
      <c r="F9" s="39" t="s">
        <v>428</v>
      </c>
      <c r="G9" s="39" t="s">
        <v>384</v>
      </c>
      <c r="H9" s="39" t="s">
        <v>385</v>
      </c>
      <c r="I9" s="39" t="s">
        <v>386</v>
      </c>
      <c r="J9" s="39" t="s">
        <v>15</v>
      </c>
      <c r="K9" s="39" t="s">
        <v>16</v>
      </c>
      <c r="L9" s="40"/>
      <c r="M9" s="41" t="s">
        <v>429</v>
      </c>
      <c r="N9" s="40"/>
      <c r="O9" s="40"/>
      <c r="P9" s="42" t="s">
        <v>387</v>
      </c>
      <c r="Q9" s="41" t="s">
        <v>429</v>
      </c>
      <c r="R9" s="41" t="s">
        <v>430</v>
      </c>
      <c r="S9" s="42" t="s">
        <v>431</v>
      </c>
      <c r="T9" s="41" t="s">
        <v>432</v>
      </c>
      <c r="U9" s="41" t="s">
        <v>400</v>
      </c>
      <c r="V9" s="45" t="s">
        <v>433</v>
      </c>
      <c r="W9" s="41" t="s">
        <v>433</v>
      </c>
      <c r="X9" s="39" t="s">
        <v>434</v>
      </c>
      <c r="Y9" s="39" t="s">
        <v>389</v>
      </c>
      <c r="Z9" s="39"/>
      <c r="AA9" s="39" t="s">
        <v>390</v>
      </c>
      <c r="AB9" s="39" t="s">
        <v>391</v>
      </c>
      <c r="AC9" s="39" t="s">
        <v>391</v>
      </c>
      <c r="AD9" s="39" t="s">
        <v>46</v>
      </c>
      <c r="AE9" s="39" t="s">
        <v>46</v>
      </c>
      <c r="AF9" s="39"/>
      <c r="AG9" s="40"/>
      <c r="AH9" s="39" t="s">
        <v>391</v>
      </c>
      <c r="AI9" s="39" t="s">
        <v>46</v>
      </c>
      <c r="AJ9" s="39" t="s">
        <v>391</v>
      </c>
      <c r="AK9" s="39" t="s">
        <v>392</v>
      </c>
      <c r="AL9" s="39" t="s">
        <v>393</v>
      </c>
      <c r="AM9" s="39">
        <v>7.0</v>
      </c>
      <c r="AN9" s="39">
        <v>3.0</v>
      </c>
      <c r="AO9" s="39" t="s">
        <v>433</v>
      </c>
      <c r="AP9" s="39" t="str">
        <f t="shared" si="1"/>
        <v>NÃO</v>
      </c>
      <c r="AQ9" s="43" t="s">
        <v>395</v>
      </c>
      <c r="AR9" s="40" t="s">
        <v>428</v>
      </c>
    </row>
    <row r="10" ht="15.75" customHeight="1">
      <c r="A10" s="30" t="s">
        <v>57</v>
      </c>
      <c r="B10" s="47" t="s">
        <v>404</v>
      </c>
      <c r="C10" s="30" t="s">
        <v>380</v>
      </c>
      <c r="D10" s="30" t="s">
        <v>435</v>
      </c>
      <c r="E10" s="48" t="s">
        <v>436</v>
      </c>
      <c r="F10" s="48" t="s">
        <v>17</v>
      </c>
      <c r="G10" s="48" t="s">
        <v>418</v>
      </c>
      <c r="H10" s="48" t="s">
        <v>437</v>
      </c>
      <c r="I10" s="48" t="s">
        <v>18</v>
      </c>
      <c r="J10" s="48" t="s">
        <v>15</v>
      </c>
      <c r="K10" s="48" t="s">
        <v>16</v>
      </c>
      <c r="L10" s="16"/>
      <c r="M10" s="49" t="s">
        <v>438</v>
      </c>
      <c r="N10" s="16"/>
      <c r="O10" s="16"/>
      <c r="P10" s="47" t="s">
        <v>387</v>
      </c>
      <c r="Q10" s="49" t="s">
        <v>438</v>
      </c>
      <c r="R10" s="49" t="s">
        <v>394</v>
      </c>
      <c r="S10" s="47" t="s">
        <v>431</v>
      </c>
      <c r="T10" s="49" t="s">
        <v>439</v>
      </c>
      <c r="U10" s="49" t="s">
        <v>400</v>
      </c>
      <c r="V10" s="49" t="s">
        <v>439</v>
      </c>
      <c r="W10" s="49" t="s">
        <v>439</v>
      </c>
      <c r="X10" s="48" t="s">
        <v>388</v>
      </c>
      <c r="Y10" s="48" t="s">
        <v>389</v>
      </c>
      <c r="Z10" s="16"/>
      <c r="AA10" s="48" t="s">
        <v>14</v>
      </c>
      <c r="AB10" s="48" t="s">
        <v>46</v>
      </c>
      <c r="AC10" s="48" t="s">
        <v>46</v>
      </c>
      <c r="AD10" s="48" t="s">
        <v>391</v>
      </c>
      <c r="AE10" s="48" t="s">
        <v>46</v>
      </c>
      <c r="AF10" s="16"/>
      <c r="AG10" s="16"/>
      <c r="AH10" s="48" t="s">
        <v>46</v>
      </c>
      <c r="AI10" s="48" t="s">
        <v>46</v>
      </c>
      <c r="AJ10" s="48" t="s">
        <v>391</v>
      </c>
      <c r="AK10" s="48" t="s">
        <v>421</v>
      </c>
      <c r="AL10" s="48" t="s">
        <v>440</v>
      </c>
      <c r="AM10" s="48">
        <v>4.4</v>
      </c>
      <c r="AN10" s="48">
        <v>2.0</v>
      </c>
      <c r="AO10" s="48" t="s">
        <v>439</v>
      </c>
      <c r="AP10" s="48" t="str">
        <f t="shared" si="1"/>
        <v>NÃO</v>
      </c>
      <c r="AQ10" s="50" t="s">
        <v>391</v>
      </c>
      <c r="AR10" s="16" t="s">
        <v>17</v>
      </c>
    </row>
    <row r="11" ht="15.75" customHeight="1">
      <c r="A11" s="30" t="s">
        <v>63</v>
      </c>
      <c r="B11" s="47" t="s">
        <v>441</v>
      </c>
      <c r="C11" s="30" t="s">
        <v>380</v>
      </c>
      <c r="D11" s="30" t="s">
        <v>442</v>
      </c>
      <c r="E11" s="48" t="s">
        <v>443</v>
      </c>
      <c r="F11" s="48" t="s">
        <v>27</v>
      </c>
      <c r="G11" s="48" t="s">
        <v>444</v>
      </c>
      <c r="H11" s="48" t="s">
        <v>385</v>
      </c>
      <c r="I11" s="48" t="s">
        <v>18</v>
      </c>
      <c r="J11" s="48" t="s">
        <v>15</v>
      </c>
      <c r="K11" s="48" t="s">
        <v>16</v>
      </c>
      <c r="L11" s="16"/>
      <c r="M11" s="49" t="s">
        <v>445</v>
      </c>
      <c r="N11" s="16"/>
      <c r="O11" s="16"/>
      <c r="P11" s="47" t="s">
        <v>387</v>
      </c>
      <c r="Q11" s="49" t="s">
        <v>445</v>
      </c>
      <c r="R11" s="49" t="s">
        <v>446</v>
      </c>
      <c r="S11" s="47" t="s">
        <v>447</v>
      </c>
      <c r="T11" s="49" t="s">
        <v>448</v>
      </c>
      <c r="U11" s="49" t="s">
        <v>449</v>
      </c>
      <c r="V11" s="49" t="s">
        <v>450</v>
      </c>
      <c r="W11" s="49" t="s">
        <v>450</v>
      </c>
      <c r="X11" s="48" t="s">
        <v>451</v>
      </c>
      <c r="Y11" s="48" t="s">
        <v>389</v>
      </c>
      <c r="Z11" s="16"/>
      <c r="AA11" s="48" t="s">
        <v>26</v>
      </c>
      <c r="AB11" s="48" t="s">
        <v>46</v>
      </c>
      <c r="AC11" s="48" t="s">
        <v>46</v>
      </c>
      <c r="AD11" s="48" t="s">
        <v>391</v>
      </c>
      <c r="AE11" s="48" t="s">
        <v>46</v>
      </c>
      <c r="AF11" s="16"/>
      <c r="AG11" s="16"/>
      <c r="AH11" s="48" t="s">
        <v>46</v>
      </c>
      <c r="AI11" s="48" t="s">
        <v>46</v>
      </c>
      <c r="AJ11" s="48" t="s">
        <v>391</v>
      </c>
      <c r="AK11" s="48" t="s">
        <v>421</v>
      </c>
      <c r="AL11" s="48" t="s">
        <v>452</v>
      </c>
      <c r="AM11" s="48">
        <v>14.0</v>
      </c>
      <c r="AN11" s="48">
        <v>9.0</v>
      </c>
      <c r="AO11" s="48" t="s">
        <v>450</v>
      </c>
      <c r="AP11" s="48" t="str">
        <f t="shared" si="1"/>
        <v>NÃO</v>
      </c>
      <c r="AQ11" s="50" t="s">
        <v>391</v>
      </c>
      <c r="AR11" s="16" t="s">
        <v>27</v>
      </c>
    </row>
    <row r="12" ht="15.75" customHeight="1">
      <c r="A12" s="30" t="s">
        <v>70</v>
      </c>
      <c r="B12" s="30">
        <v>3.0</v>
      </c>
      <c r="C12" s="30" t="s">
        <v>380</v>
      </c>
      <c r="D12" s="30" t="s">
        <v>453</v>
      </c>
      <c r="E12" s="48" t="s">
        <v>454</v>
      </c>
      <c r="F12" s="48" t="s">
        <v>34</v>
      </c>
      <c r="G12" s="48" t="s">
        <v>455</v>
      </c>
      <c r="H12" s="48" t="s">
        <v>385</v>
      </c>
      <c r="I12" s="48" t="s">
        <v>18</v>
      </c>
      <c r="J12" s="48" t="s">
        <v>15</v>
      </c>
      <c r="K12" s="48" t="s">
        <v>16</v>
      </c>
      <c r="L12" s="16"/>
      <c r="M12" s="49" t="s">
        <v>456</v>
      </c>
      <c r="N12" s="16"/>
      <c r="O12" s="16"/>
      <c r="P12" s="47" t="s">
        <v>387</v>
      </c>
      <c r="Q12" s="49" t="s">
        <v>456</v>
      </c>
      <c r="R12" s="49" t="s">
        <v>457</v>
      </c>
      <c r="S12" s="47" t="s">
        <v>447</v>
      </c>
      <c r="T12" s="49" t="s">
        <v>458</v>
      </c>
      <c r="U12" s="49" t="s">
        <v>459</v>
      </c>
      <c r="V12" s="49" t="s">
        <v>460</v>
      </c>
      <c r="W12" s="49" t="s">
        <v>460</v>
      </c>
      <c r="X12" s="48" t="s">
        <v>461</v>
      </c>
      <c r="Y12" s="48" t="s">
        <v>389</v>
      </c>
      <c r="Z12" s="16"/>
      <c r="AA12" s="48" t="s">
        <v>26</v>
      </c>
      <c r="AB12" s="48" t="s">
        <v>46</v>
      </c>
      <c r="AC12" s="48" t="s">
        <v>46</v>
      </c>
      <c r="AD12" s="48" t="s">
        <v>391</v>
      </c>
      <c r="AE12" s="48" t="s">
        <v>46</v>
      </c>
      <c r="AF12" s="16"/>
      <c r="AG12" s="16"/>
      <c r="AH12" s="48" t="s">
        <v>46</v>
      </c>
      <c r="AI12" s="48" t="s">
        <v>46</v>
      </c>
      <c r="AJ12" s="48" t="s">
        <v>391</v>
      </c>
      <c r="AK12" s="48" t="s">
        <v>421</v>
      </c>
      <c r="AL12" s="48" t="s">
        <v>452</v>
      </c>
      <c r="AM12" s="48">
        <v>25.0</v>
      </c>
      <c r="AN12" s="48">
        <v>15.0</v>
      </c>
      <c r="AO12" s="48" t="s">
        <v>460</v>
      </c>
      <c r="AP12" s="48" t="str">
        <f t="shared" si="1"/>
        <v>NÃO</v>
      </c>
      <c r="AQ12" s="50" t="s">
        <v>391</v>
      </c>
      <c r="AR12" s="16" t="s">
        <v>34</v>
      </c>
    </row>
    <row r="13" ht="15.75" customHeight="1">
      <c r="A13" s="30" t="s">
        <v>77</v>
      </c>
      <c r="B13" s="30">
        <v>4.0</v>
      </c>
      <c r="C13" s="51" t="s">
        <v>423</v>
      </c>
      <c r="D13" s="30" t="s">
        <v>462</v>
      </c>
      <c r="E13" s="48" t="s">
        <v>463</v>
      </c>
      <c r="F13" s="48" t="s">
        <v>44</v>
      </c>
      <c r="G13" s="48" t="s">
        <v>418</v>
      </c>
      <c r="H13" s="48" t="s">
        <v>464</v>
      </c>
      <c r="I13" s="48" t="s">
        <v>18</v>
      </c>
      <c r="J13" s="48" t="s">
        <v>15</v>
      </c>
      <c r="K13" s="48" t="s">
        <v>16</v>
      </c>
      <c r="L13" s="16"/>
      <c r="M13" s="49" t="s">
        <v>465</v>
      </c>
      <c r="N13" s="16"/>
      <c r="O13" s="16"/>
      <c r="P13" s="47" t="s">
        <v>387</v>
      </c>
      <c r="Q13" s="49" t="s">
        <v>465</v>
      </c>
      <c r="R13" s="49" t="s">
        <v>466</v>
      </c>
      <c r="S13" s="47" t="s">
        <v>447</v>
      </c>
      <c r="T13" s="49" t="s">
        <v>467</v>
      </c>
      <c r="U13" s="49" t="s">
        <v>468</v>
      </c>
      <c r="V13" s="49" t="s">
        <v>469</v>
      </c>
      <c r="W13" s="49" t="s">
        <v>469</v>
      </c>
      <c r="X13" s="48" t="s">
        <v>461</v>
      </c>
      <c r="Y13" s="48" t="s">
        <v>389</v>
      </c>
      <c r="Z13" s="16" t="s">
        <v>470</v>
      </c>
      <c r="AA13" s="48" t="s">
        <v>43</v>
      </c>
      <c r="AB13" s="48" t="s">
        <v>46</v>
      </c>
      <c r="AC13" s="48" t="s">
        <v>46</v>
      </c>
      <c r="AD13" s="48" t="s">
        <v>391</v>
      </c>
      <c r="AE13" s="48" t="s">
        <v>46</v>
      </c>
      <c r="AF13" s="16" t="s">
        <v>404</v>
      </c>
      <c r="AG13" s="16"/>
      <c r="AH13" s="48" t="s">
        <v>46</v>
      </c>
      <c r="AI13" s="48" t="s">
        <v>46</v>
      </c>
      <c r="AJ13" s="48" t="s">
        <v>391</v>
      </c>
      <c r="AK13" s="48" t="s">
        <v>421</v>
      </c>
      <c r="AL13" s="48" t="s">
        <v>471</v>
      </c>
      <c r="AM13" s="48">
        <v>55.0</v>
      </c>
      <c r="AN13" s="48">
        <v>33.0</v>
      </c>
      <c r="AO13" s="48" t="s">
        <v>469</v>
      </c>
      <c r="AP13" s="48" t="str">
        <f t="shared" si="1"/>
        <v>SIM</v>
      </c>
      <c r="AQ13" s="50" t="s">
        <v>391</v>
      </c>
      <c r="AR13" s="16" t="s">
        <v>44</v>
      </c>
    </row>
    <row r="14" ht="15.75" customHeight="1">
      <c r="A14" s="30" t="s">
        <v>84</v>
      </c>
      <c r="B14" s="30">
        <v>4.0</v>
      </c>
      <c r="C14" s="51" t="s">
        <v>423</v>
      </c>
      <c r="D14" s="30" t="s">
        <v>462</v>
      </c>
      <c r="E14" s="48" t="s">
        <v>463</v>
      </c>
      <c r="F14" s="48" t="s">
        <v>51</v>
      </c>
      <c r="G14" s="48" t="s">
        <v>418</v>
      </c>
      <c r="H14" s="48" t="s">
        <v>464</v>
      </c>
      <c r="I14" s="48" t="s">
        <v>18</v>
      </c>
      <c r="J14" s="48" t="s">
        <v>15</v>
      </c>
      <c r="K14" s="48" t="s">
        <v>16</v>
      </c>
      <c r="L14" s="16"/>
      <c r="M14" s="49" t="s">
        <v>472</v>
      </c>
      <c r="N14" s="16"/>
      <c r="O14" s="16"/>
      <c r="P14" s="47" t="s">
        <v>387</v>
      </c>
      <c r="Q14" s="49" t="s">
        <v>472</v>
      </c>
      <c r="R14" s="49" t="s">
        <v>473</v>
      </c>
      <c r="S14" s="47" t="s">
        <v>447</v>
      </c>
      <c r="T14" s="49" t="s">
        <v>474</v>
      </c>
      <c r="U14" s="49" t="s">
        <v>475</v>
      </c>
      <c r="V14" s="49">
        <v>80.0</v>
      </c>
      <c r="W14" s="49" t="s">
        <v>475</v>
      </c>
      <c r="X14" s="48" t="s">
        <v>476</v>
      </c>
      <c r="Y14" s="48" t="s">
        <v>389</v>
      </c>
      <c r="Z14" s="16" t="s">
        <v>470</v>
      </c>
      <c r="AA14" s="48" t="s">
        <v>43</v>
      </c>
      <c r="AB14" s="48" t="s">
        <v>46</v>
      </c>
      <c r="AC14" s="48" t="s">
        <v>46</v>
      </c>
      <c r="AD14" s="48" t="s">
        <v>391</v>
      </c>
      <c r="AE14" s="48" t="s">
        <v>46</v>
      </c>
      <c r="AF14" s="16" t="s">
        <v>404</v>
      </c>
      <c r="AG14" s="16"/>
      <c r="AH14" s="48" t="s">
        <v>46</v>
      </c>
      <c r="AI14" s="48" t="s">
        <v>46</v>
      </c>
      <c r="AJ14" s="48" t="s">
        <v>391</v>
      </c>
      <c r="AK14" s="48" t="s">
        <v>421</v>
      </c>
      <c r="AL14" s="48" t="s">
        <v>471</v>
      </c>
      <c r="AM14" s="48">
        <v>80.0</v>
      </c>
      <c r="AN14" s="48">
        <v>45.0</v>
      </c>
      <c r="AO14" s="48" t="s">
        <v>475</v>
      </c>
      <c r="AP14" s="48" t="str">
        <f t="shared" si="1"/>
        <v>SIM</v>
      </c>
      <c r="AQ14" s="50" t="s">
        <v>391</v>
      </c>
      <c r="AR14" s="16" t="s">
        <v>51</v>
      </c>
    </row>
    <row r="15" ht="15.75" customHeight="1">
      <c r="A15" s="30" t="s">
        <v>90</v>
      </c>
      <c r="B15" s="30">
        <v>4.0</v>
      </c>
      <c r="C15" s="51" t="s">
        <v>423</v>
      </c>
      <c r="D15" s="30" t="s">
        <v>462</v>
      </c>
      <c r="E15" s="48" t="s">
        <v>463</v>
      </c>
      <c r="F15" s="48" t="s">
        <v>58</v>
      </c>
      <c r="G15" s="48" t="s">
        <v>418</v>
      </c>
      <c r="H15" s="48" t="s">
        <v>464</v>
      </c>
      <c r="I15" s="48" t="s">
        <v>18</v>
      </c>
      <c r="J15" s="48" t="s">
        <v>15</v>
      </c>
      <c r="K15" s="48" t="s">
        <v>16</v>
      </c>
      <c r="L15" s="16"/>
      <c r="M15" s="49" t="s">
        <v>465</v>
      </c>
      <c r="N15" s="16"/>
      <c r="O15" s="16"/>
      <c r="P15" s="47" t="s">
        <v>387</v>
      </c>
      <c r="Q15" s="49" t="s">
        <v>465</v>
      </c>
      <c r="R15" s="49" t="s">
        <v>466</v>
      </c>
      <c r="S15" s="47" t="s">
        <v>447</v>
      </c>
      <c r="T15" s="49" t="s">
        <v>467</v>
      </c>
      <c r="U15" s="49" t="s">
        <v>468</v>
      </c>
      <c r="V15" s="52" t="s">
        <v>477</v>
      </c>
      <c r="W15" s="49" t="s">
        <v>477</v>
      </c>
      <c r="X15" s="48" t="s">
        <v>478</v>
      </c>
      <c r="Y15" s="48" t="s">
        <v>389</v>
      </c>
      <c r="Z15" s="16" t="s">
        <v>470</v>
      </c>
      <c r="AA15" s="48" t="s">
        <v>43</v>
      </c>
      <c r="AB15" s="48" t="s">
        <v>46</v>
      </c>
      <c r="AC15" s="48" t="s">
        <v>46</v>
      </c>
      <c r="AD15" s="48" t="s">
        <v>391</v>
      </c>
      <c r="AE15" s="48" t="s">
        <v>46</v>
      </c>
      <c r="AF15" s="16" t="s">
        <v>404</v>
      </c>
      <c r="AG15" s="16"/>
      <c r="AH15" s="48" t="s">
        <v>46</v>
      </c>
      <c r="AI15" s="48" t="s">
        <v>46</v>
      </c>
      <c r="AJ15" s="48" t="s">
        <v>391</v>
      </c>
      <c r="AK15" s="48" t="s">
        <v>421</v>
      </c>
      <c r="AL15" s="48" t="s">
        <v>471</v>
      </c>
      <c r="AM15" s="48">
        <v>50.0</v>
      </c>
      <c r="AN15" s="48">
        <v>33.0</v>
      </c>
      <c r="AO15" s="48" t="s">
        <v>477</v>
      </c>
      <c r="AP15" s="48" t="str">
        <f t="shared" si="1"/>
        <v>SIM</v>
      </c>
      <c r="AQ15" s="50" t="s">
        <v>391</v>
      </c>
      <c r="AR15" s="16" t="s">
        <v>58</v>
      </c>
    </row>
    <row r="16" ht="15.75" customHeight="1">
      <c r="A16" s="30" t="s">
        <v>96</v>
      </c>
      <c r="B16" s="30">
        <v>4.0</v>
      </c>
      <c r="C16" s="51" t="s">
        <v>423</v>
      </c>
      <c r="D16" s="30" t="s">
        <v>462</v>
      </c>
      <c r="E16" s="48" t="s">
        <v>463</v>
      </c>
      <c r="F16" s="48" t="s">
        <v>64</v>
      </c>
      <c r="G16" s="48" t="s">
        <v>418</v>
      </c>
      <c r="H16" s="48" t="s">
        <v>464</v>
      </c>
      <c r="I16" s="48" t="s">
        <v>18</v>
      </c>
      <c r="J16" s="48" t="s">
        <v>15</v>
      </c>
      <c r="K16" s="48" t="s">
        <v>16</v>
      </c>
      <c r="L16" s="16"/>
      <c r="M16" s="49" t="s">
        <v>465</v>
      </c>
      <c r="N16" s="16"/>
      <c r="O16" s="16"/>
      <c r="P16" s="47" t="s">
        <v>387</v>
      </c>
      <c r="Q16" s="49" t="s">
        <v>465</v>
      </c>
      <c r="R16" s="49" t="s">
        <v>466</v>
      </c>
      <c r="S16" s="47" t="s">
        <v>447</v>
      </c>
      <c r="T16" s="49" t="s">
        <v>467</v>
      </c>
      <c r="U16" s="49" t="s">
        <v>468</v>
      </c>
      <c r="V16" s="49" t="s">
        <v>469</v>
      </c>
      <c r="W16" s="49" t="s">
        <v>469</v>
      </c>
      <c r="X16" s="48" t="s">
        <v>461</v>
      </c>
      <c r="Y16" s="48" t="s">
        <v>389</v>
      </c>
      <c r="Z16" s="48" t="s">
        <v>470</v>
      </c>
      <c r="AA16" s="48" t="s">
        <v>43</v>
      </c>
      <c r="AB16" s="48" t="s">
        <v>46</v>
      </c>
      <c r="AC16" s="48" t="s">
        <v>46</v>
      </c>
      <c r="AD16" s="48" t="s">
        <v>391</v>
      </c>
      <c r="AE16" s="48" t="s">
        <v>46</v>
      </c>
      <c r="AF16" s="48" t="s">
        <v>404</v>
      </c>
      <c r="AG16" s="16"/>
      <c r="AH16" s="48" t="s">
        <v>46</v>
      </c>
      <c r="AI16" s="48" t="s">
        <v>46</v>
      </c>
      <c r="AJ16" s="48" t="s">
        <v>391</v>
      </c>
      <c r="AK16" s="48" t="s">
        <v>421</v>
      </c>
      <c r="AL16" s="48" t="s">
        <v>471</v>
      </c>
      <c r="AM16" s="48">
        <v>55.0</v>
      </c>
      <c r="AN16" s="48">
        <v>33.0</v>
      </c>
      <c r="AO16" s="48" t="s">
        <v>469</v>
      </c>
      <c r="AP16" s="48" t="str">
        <f t="shared" si="1"/>
        <v>SIM</v>
      </c>
      <c r="AQ16" s="50" t="s">
        <v>391</v>
      </c>
      <c r="AR16" s="16" t="s">
        <v>64</v>
      </c>
    </row>
    <row r="17" ht="15.75" customHeight="1">
      <c r="A17" s="30" t="s">
        <v>102</v>
      </c>
      <c r="B17" s="30">
        <v>5.0</v>
      </c>
      <c r="C17" s="51" t="s">
        <v>423</v>
      </c>
      <c r="D17" s="30" t="s">
        <v>479</v>
      </c>
      <c r="E17" s="48" t="s">
        <v>480</v>
      </c>
      <c r="F17" s="48" t="s">
        <v>71</v>
      </c>
      <c r="G17" s="48" t="s">
        <v>418</v>
      </c>
      <c r="H17" s="48" t="s">
        <v>464</v>
      </c>
      <c r="I17" s="48" t="s">
        <v>18</v>
      </c>
      <c r="J17" s="48" t="s">
        <v>15</v>
      </c>
      <c r="K17" s="48" t="s">
        <v>16</v>
      </c>
      <c r="L17" s="16"/>
      <c r="M17" s="49" t="s">
        <v>460</v>
      </c>
      <c r="N17" s="16"/>
      <c r="O17" s="16"/>
      <c r="P17" s="47" t="s">
        <v>387</v>
      </c>
      <c r="Q17" s="49" t="s">
        <v>460</v>
      </c>
      <c r="R17" s="49" t="s">
        <v>481</v>
      </c>
      <c r="S17" s="47" t="s">
        <v>482</v>
      </c>
      <c r="T17" s="49" t="s">
        <v>483</v>
      </c>
      <c r="U17" s="49" t="s">
        <v>484</v>
      </c>
      <c r="V17" s="52" t="s">
        <v>485</v>
      </c>
      <c r="W17" s="49" t="s">
        <v>485</v>
      </c>
      <c r="X17" s="48" t="s">
        <v>486</v>
      </c>
      <c r="Y17" s="48" t="s">
        <v>389</v>
      </c>
      <c r="Z17" s="48" t="s">
        <v>470</v>
      </c>
      <c r="AA17" s="48" t="s">
        <v>43</v>
      </c>
      <c r="AB17" s="48" t="s">
        <v>46</v>
      </c>
      <c r="AC17" s="48" t="s">
        <v>46</v>
      </c>
      <c r="AD17" s="48" t="s">
        <v>391</v>
      </c>
      <c r="AE17" s="48" t="s">
        <v>46</v>
      </c>
      <c r="AF17" s="48" t="s">
        <v>404</v>
      </c>
      <c r="AG17" s="16"/>
      <c r="AH17" s="48" t="s">
        <v>46</v>
      </c>
      <c r="AI17" s="48" t="s">
        <v>46</v>
      </c>
      <c r="AJ17" s="48" t="s">
        <v>391</v>
      </c>
      <c r="AK17" s="48" t="s">
        <v>421</v>
      </c>
      <c r="AL17" s="48" t="s">
        <v>471</v>
      </c>
      <c r="AM17" s="48">
        <v>35.0</v>
      </c>
      <c r="AN17" s="48">
        <v>25.0</v>
      </c>
      <c r="AO17" s="48" t="s">
        <v>485</v>
      </c>
      <c r="AP17" s="48" t="str">
        <f t="shared" si="1"/>
        <v>SIM</v>
      </c>
      <c r="AQ17" s="50" t="s">
        <v>391</v>
      </c>
      <c r="AR17" s="16" t="s">
        <v>71</v>
      </c>
    </row>
    <row r="18" ht="15.75" customHeight="1">
      <c r="A18" s="30" t="s">
        <v>109</v>
      </c>
      <c r="B18" s="30">
        <v>5.0</v>
      </c>
      <c r="C18" s="51" t="s">
        <v>423</v>
      </c>
      <c r="D18" s="30" t="s">
        <v>479</v>
      </c>
      <c r="E18" s="48" t="s">
        <v>480</v>
      </c>
      <c r="F18" s="48" t="s">
        <v>78</v>
      </c>
      <c r="G18" s="48" t="s">
        <v>418</v>
      </c>
      <c r="H18" s="48" t="s">
        <v>464</v>
      </c>
      <c r="I18" s="48" t="s">
        <v>18</v>
      </c>
      <c r="J18" s="48" t="s">
        <v>15</v>
      </c>
      <c r="K18" s="48" t="s">
        <v>16</v>
      </c>
      <c r="L18" s="16"/>
      <c r="M18" s="49" t="s">
        <v>460</v>
      </c>
      <c r="N18" s="16"/>
      <c r="O18" s="16"/>
      <c r="P18" s="47" t="s">
        <v>387</v>
      </c>
      <c r="Q18" s="49" t="s">
        <v>460</v>
      </c>
      <c r="R18" s="49" t="s">
        <v>481</v>
      </c>
      <c r="S18" s="47" t="s">
        <v>482</v>
      </c>
      <c r="T18" s="49" t="s">
        <v>483</v>
      </c>
      <c r="U18" s="49" t="s">
        <v>484</v>
      </c>
      <c r="V18" s="49" t="s">
        <v>485</v>
      </c>
      <c r="W18" s="49" t="s">
        <v>485</v>
      </c>
      <c r="X18" s="48" t="s">
        <v>486</v>
      </c>
      <c r="Y18" s="48" t="s">
        <v>389</v>
      </c>
      <c r="Z18" s="48" t="s">
        <v>470</v>
      </c>
      <c r="AA18" s="48" t="s">
        <v>43</v>
      </c>
      <c r="AB18" s="48" t="s">
        <v>46</v>
      </c>
      <c r="AC18" s="48" t="s">
        <v>46</v>
      </c>
      <c r="AD18" s="48" t="s">
        <v>391</v>
      </c>
      <c r="AE18" s="48" t="s">
        <v>46</v>
      </c>
      <c r="AF18" s="48" t="s">
        <v>404</v>
      </c>
      <c r="AG18" s="16"/>
      <c r="AH18" s="48" t="s">
        <v>46</v>
      </c>
      <c r="AI18" s="48" t="s">
        <v>46</v>
      </c>
      <c r="AJ18" s="48" t="s">
        <v>391</v>
      </c>
      <c r="AK18" s="48" t="s">
        <v>421</v>
      </c>
      <c r="AL18" s="48" t="s">
        <v>471</v>
      </c>
      <c r="AM18" s="48">
        <v>35.0</v>
      </c>
      <c r="AN18" s="48">
        <v>25.0</v>
      </c>
      <c r="AO18" s="48" t="s">
        <v>485</v>
      </c>
      <c r="AP18" s="48" t="str">
        <f t="shared" si="1"/>
        <v>SIM</v>
      </c>
      <c r="AQ18" s="50" t="s">
        <v>391</v>
      </c>
      <c r="AR18" s="16" t="s">
        <v>78</v>
      </c>
    </row>
    <row r="19" ht="15.75" customHeight="1">
      <c r="A19" s="30" t="s">
        <v>116</v>
      </c>
      <c r="B19" s="30">
        <v>6.0</v>
      </c>
      <c r="C19" s="51" t="s">
        <v>423</v>
      </c>
      <c r="D19" s="30" t="s">
        <v>487</v>
      </c>
      <c r="E19" s="48" t="s">
        <v>488</v>
      </c>
      <c r="F19" s="48" t="s">
        <v>85</v>
      </c>
      <c r="G19" s="48" t="s">
        <v>418</v>
      </c>
      <c r="H19" s="48" t="s">
        <v>464</v>
      </c>
      <c r="I19" s="48" t="s">
        <v>18</v>
      </c>
      <c r="J19" s="48" t="s">
        <v>15</v>
      </c>
      <c r="K19" s="48" t="s">
        <v>16</v>
      </c>
      <c r="L19" s="16"/>
      <c r="M19" s="49" t="s">
        <v>460</v>
      </c>
      <c r="N19" s="16"/>
      <c r="O19" s="16"/>
      <c r="P19" s="47" t="s">
        <v>387</v>
      </c>
      <c r="Q19" s="49" t="s">
        <v>460</v>
      </c>
      <c r="R19" s="49" t="s">
        <v>481</v>
      </c>
      <c r="S19" s="47" t="s">
        <v>482</v>
      </c>
      <c r="T19" s="49" t="s">
        <v>483</v>
      </c>
      <c r="U19" s="49" t="s">
        <v>484</v>
      </c>
      <c r="V19" s="49" t="s">
        <v>465</v>
      </c>
      <c r="W19" s="49" t="s">
        <v>465</v>
      </c>
      <c r="X19" s="48" t="s">
        <v>489</v>
      </c>
      <c r="Y19" s="48" t="s">
        <v>389</v>
      </c>
      <c r="Z19" s="48" t="s">
        <v>470</v>
      </c>
      <c r="AA19" s="48" t="s">
        <v>43</v>
      </c>
      <c r="AB19" s="48" t="s">
        <v>46</v>
      </c>
      <c r="AC19" s="48" t="s">
        <v>46</v>
      </c>
      <c r="AD19" s="48" t="s">
        <v>391</v>
      </c>
      <c r="AE19" s="48" t="s">
        <v>46</v>
      </c>
      <c r="AF19" s="48" t="s">
        <v>404</v>
      </c>
      <c r="AG19" s="16"/>
      <c r="AH19" s="48" t="s">
        <v>46</v>
      </c>
      <c r="AI19" s="48" t="s">
        <v>46</v>
      </c>
      <c r="AJ19" s="48" t="s">
        <v>391</v>
      </c>
      <c r="AK19" s="48" t="s">
        <v>421</v>
      </c>
      <c r="AL19" s="48" t="s">
        <v>471</v>
      </c>
      <c r="AM19" s="48">
        <v>33.0</v>
      </c>
      <c r="AN19" s="48">
        <v>25.0</v>
      </c>
      <c r="AO19" s="48" t="s">
        <v>465</v>
      </c>
      <c r="AP19" s="48" t="str">
        <f t="shared" si="1"/>
        <v>SIM</v>
      </c>
      <c r="AQ19" s="50" t="s">
        <v>391</v>
      </c>
      <c r="AR19" s="16" t="s">
        <v>85</v>
      </c>
    </row>
    <row r="20" ht="15.75" customHeight="1">
      <c r="A20" s="30" t="s">
        <v>121</v>
      </c>
      <c r="B20" s="30">
        <v>6.0</v>
      </c>
      <c r="C20" s="51" t="s">
        <v>423</v>
      </c>
      <c r="D20" s="30" t="s">
        <v>487</v>
      </c>
      <c r="E20" s="48" t="s">
        <v>488</v>
      </c>
      <c r="F20" s="48" t="s">
        <v>91</v>
      </c>
      <c r="G20" s="48" t="s">
        <v>418</v>
      </c>
      <c r="H20" s="48" t="s">
        <v>464</v>
      </c>
      <c r="I20" s="48" t="s">
        <v>18</v>
      </c>
      <c r="J20" s="48" t="s">
        <v>15</v>
      </c>
      <c r="K20" s="48" t="s">
        <v>16</v>
      </c>
      <c r="L20" s="16"/>
      <c r="M20" s="49" t="s">
        <v>449</v>
      </c>
      <c r="N20" s="16"/>
      <c r="O20" s="16"/>
      <c r="P20" s="47" t="s">
        <v>387</v>
      </c>
      <c r="Q20" s="49" t="s">
        <v>449</v>
      </c>
      <c r="R20" s="49" t="s">
        <v>490</v>
      </c>
      <c r="S20" s="47" t="s">
        <v>482</v>
      </c>
      <c r="T20" s="49" t="s">
        <v>491</v>
      </c>
      <c r="U20" s="49" t="s">
        <v>459</v>
      </c>
      <c r="V20" s="49" t="s">
        <v>459</v>
      </c>
      <c r="W20" s="49" t="s">
        <v>459</v>
      </c>
      <c r="X20" s="48" t="s">
        <v>492</v>
      </c>
      <c r="Y20" s="48" t="s">
        <v>389</v>
      </c>
      <c r="Z20" s="48" t="s">
        <v>470</v>
      </c>
      <c r="AA20" s="48" t="s">
        <v>43</v>
      </c>
      <c r="AB20" s="48" t="s">
        <v>46</v>
      </c>
      <c r="AC20" s="48" t="s">
        <v>46</v>
      </c>
      <c r="AD20" s="48" t="s">
        <v>391</v>
      </c>
      <c r="AE20" s="48" t="s">
        <v>46</v>
      </c>
      <c r="AF20" s="48" t="s">
        <v>404</v>
      </c>
      <c r="AG20" s="16"/>
      <c r="AH20" s="48" t="s">
        <v>46</v>
      </c>
      <c r="AI20" s="48" t="s">
        <v>46</v>
      </c>
      <c r="AJ20" s="48" t="s">
        <v>391</v>
      </c>
      <c r="AK20" s="48" t="s">
        <v>421</v>
      </c>
      <c r="AL20" s="48" t="s">
        <v>471</v>
      </c>
      <c r="AM20" s="48">
        <v>30.0</v>
      </c>
      <c r="AN20" s="48">
        <v>20.0</v>
      </c>
      <c r="AO20" s="48" t="s">
        <v>459</v>
      </c>
      <c r="AP20" s="48" t="str">
        <f t="shared" si="1"/>
        <v>SIM</v>
      </c>
      <c r="AQ20" s="50" t="s">
        <v>391</v>
      </c>
      <c r="AR20" s="16" t="s">
        <v>91</v>
      </c>
    </row>
    <row r="21" ht="15.75" customHeight="1">
      <c r="A21" s="30" t="s">
        <v>126</v>
      </c>
      <c r="B21" s="30">
        <v>6.0</v>
      </c>
      <c r="C21" s="51" t="s">
        <v>423</v>
      </c>
      <c r="D21" s="30" t="s">
        <v>487</v>
      </c>
      <c r="E21" s="48" t="s">
        <v>488</v>
      </c>
      <c r="F21" s="48" t="s">
        <v>97</v>
      </c>
      <c r="G21" s="48" t="s">
        <v>384</v>
      </c>
      <c r="H21" s="48" t="s">
        <v>464</v>
      </c>
      <c r="I21" s="48" t="s">
        <v>18</v>
      </c>
      <c r="J21" s="48" t="s">
        <v>15</v>
      </c>
      <c r="K21" s="48" t="s">
        <v>16</v>
      </c>
      <c r="L21" s="16"/>
      <c r="M21" s="49" t="s">
        <v>449</v>
      </c>
      <c r="N21" s="16"/>
      <c r="O21" s="16"/>
      <c r="P21" s="47" t="s">
        <v>387</v>
      </c>
      <c r="Q21" s="49" t="s">
        <v>449</v>
      </c>
      <c r="R21" s="49" t="s">
        <v>490</v>
      </c>
      <c r="S21" s="47" t="s">
        <v>482</v>
      </c>
      <c r="T21" s="49" t="s">
        <v>491</v>
      </c>
      <c r="U21" s="49" t="s">
        <v>459</v>
      </c>
      <c r="V21" s="49" t="s">
        <v>459</v>
      </c>
      <c r="W21" s="49" t="s">
        <v>459</v>
      </c>
      <c r="X21" s="48" t="s">
        <v>492</v>
      </c>
      <c r="Y21" s="48" t="s">
        <v>389</v>
      </c>
      <c r="Z21" s="48" t="s">
        <v>493</v>
      </c>
      <c r="AA21" s="48" t="s">
        <v>43</v>
      </c>
      <c r="AB21" s="48" t="s">
        <v>46</v>
      </c>
      <c r="AC21" s="48" t="s">
        <v>46</v>
      </c>
      <c r="AD21" s="48" t="s">
        <v>391</v>
      </c>
      <c r="AE21" s="48" t="s">
        <v>46</v>
      </c>
      <c r="AF21" s="48" t="s">
        <v>404</v>
      </c>
      <c r="AG21" s="16"/>
      <c r="AH21" s="48" t="s">
        <v>46</v>
      </c>
      <c r="AI21" s="48" t="s">
        <v>46</v>
      </c>
      <c r="AJ21" s="48" t="s">
        <v>391</v>
      </c>
      <c r="AK21" s="48" t="s">
        <v>421</v>
      </c>
      <c r="AL21" s="48" t="s">
        <v>494</v>
      </c>
      <c r="AM21" s="48">
        <v>30.0</v>
      </c>
      <c r="AN21" s="48">
        <v>20.0</v>
      </c>
      <c r="AO21" s="48" t="s">
        <v>459</v>
      </c>
      <c r="AP21" s="48" t="str">
        <f t="shared" si="1"/>
        <v>SIM</v>
      </c>
      <c r="AQ21" s="50" t="s">
        <v>391</v>
      </c>
      <c r="AR21" s="16" t="s">
        <v>97</v>
      </c>
    </row>
    <row r="22" ht="15.75" customHeight="1">
      <c r="A22" s="30" t="s">
        <v>130</v>
      </c>
      <c r="B22" s="30">
        <v>7.0</v>
      </c>
      <c r="C22" s="51" t="s">
        <v>423</v>
      </c>
      <c r="D22" s="30" t="s">
        <v>495</v>
      </c>
      <c r="E22" s="48" t="s">
        <v>495</v>
      </c>
      <c r="F22" s="48" t="s">
        <v>103</v>
      </c>
      <c r="G22" s="48" t="s">
        <v>418</v>
      </c>
      <c r="H22" s="48" t="s">
        <v>464</v>
      </c>
      <c r="I22" s="48" t="s">
        <v>18</v>
      </c>
      <c r="J22" s="48" t="s">
        <v>15</v>
      </c>
      <c r="K22" s="48" t="s">
        <v>16</v>
      </c>
      <c r="L22" s="16"/>
      <c r="M22" s="49" t="s">
        <v>472</v>
      </c>
      <c r="N22" s="16"/>
      <c r="O22" s="16"/>
      <c r="P22" s="47" t="s">
        <v>387</v>
      </c>
      <c r="Q22" s="49" t="s">
        <v>472</v>
      </c>
      <c r="R22" s="49" t="s">
        <v>473</v>
      </c>
      <c r="S22" s="47" t="s">
        <v>447</v>
      </c>
      <c r="T22" s="49" t="s">
        <v>474</v>
      </c>
      <c r="U22" s="49" t="s">
        <v>475</v>
      </c>
      <c r="V22" s="49">
        <v>80.0</v>
      </c>
      <c r="W22" s="49" t="s">
        <v>475</v>
      </c>
      <c r="X22" s="48" t="s">
        <v>476</v>
      </c>
      <c r="Y22" s="48" t="s">
        <v>389</v>
      </c>
      <c r="Z22" s="48" t="s">
        <v>470</v>
      </c>
      <c r="AA22" s="48" t="s">
        <v>43</v>
      </c>
      <c r="AB22" s="48" t="s">
        <v>46</v>
      </c>
      <c r="AC22" s="48" t="s">
        <v>46</v>
      </c>
      <c r="AD22" s="48" t="s">
        <v>391</v>
      </c>
      <c r="AE22" s="48" t="s">
        <v>46</v>
      </c>
      <c r="AF22" s="48" t="s">
        <v>404</v>
      </c>
      <c r="AG22" s="16"/>
      <c r="AH22" s="48" t="s">
        <v>46</v>
      </c>
      <c r="AI22" s="48" t="s">
        <v>46</v>
      </c>
      <c r="AJ22" s="48" t="s">
        <v>391</v>
      </c>
      <c r="AK22" s="48" t="s">
        <v>421</v>
      </c>
      <c r="AL22" s="48" t="s">
        <v>471</v>
      </c>
      <c r="AM22" s="48">
        <v>80.0</v>
      </c>
      <c r="AN22" s="48">
        <v>45.0</v>
      </c>
      <c r="AO22" s="48" t="s">
        <v>475</v>
      </c>
      <c r="AP22" s="48" t="str">
        <f t="shared" si="1"/>
        <v>SIM</v>
      </c>
      <c r="AQ22" s="50" t="s">
        <v>391</v>
      </c>
      <c r="AR22" s="16" t="s">
        <v>103</v>
      </c>
    </row>
    <row r="23" ht="15.75" customHeight="1">
      <c r="A23" s="30" t="s">
        <v>135</v>
      </c>
      <c r="B23" s="30">
        <v>7.0</v>
      </c>
      <c r="C23" s="51" t="s">
        <v>423</v>
      </c>
      <c r="D23" s="30" t="s">
        <v>495</v>
      </c>
      <c r="E23" s="48" t="s">
        <v>495</v>
      </c>
      <c r="F23" s="48" t="s">
        <v>110</v>
      </c>
      <c r="G23" s="48" t="s">
        <v>418</v>
      </c>
      <c r="H23" s="48" t="s">
        <v>464</v>
      </c>
      <c r="I23" s="48" t="s">
        <v>18</v>
      </c>
      <c r="J23" s="48" t="s">
        <v>15</v>
      </c>
      <c r="K23" s="48" t="s">
        <v>16</v>
      </c>
      <c r="L23" s="16"/>
      <c r="M23" s="49" t="s">
        <v>449</v>
      </c>
      <c r="N23" s="16"/>
      <c r="O23" s="16"/>
      <c r="P23" s="47" t="s">
        <v>387</v>
      </c>
      <c r="Q23" s="49" t="s">
        <v>449</v>
      </c>
      <c r="R23" s="49" t="s">
        <v>490</v>
      </c>
      <c r="S23" s="47" t="s">
        <v>447</v>
      </c>
      <c r="T23" s="49" t="s">
        <v>465</v>
      </c>
      <c r="U23" s="49" t="s">
        <v>484</v>
      </c>
      <c r="V23" s="49">
        <v>40.0</v>
      </c>
      <c r="W23" s="49" t="s">
        <v>484</v>
      </c>
      <c r="X23" s="48" t="s">
        <v>496</v>
      </c>
      <c r="Y23" s="48" t="s">
        <v>389</v>
      </c>
      <c r="Z23" s="48" t="s">
        <v>470</v>
      </c>
      <c r="AA23" s="48" t="s">
        <v>43</v>
      </c>
      <c r="AB23" s="48" t="s">
        <v>46</v>
      </c>
      <c r="AC23" s="48" t="s">
        <v>46</v>
      </c>
      <c r="AD23" s="48" t="s">
        <v>391</v>
      </c>
      <c r="AE23" s="48" t="s">
        <v>46</v>
      </c>
      <c r="AF23" s="48" t="s">
        <v>404</v>
      </c>
      <c r="AG23" s="16"/>
      <c r="AH23" s="48" t="s">
        <v>46</v>
      </c>
      <c r="AI23" s="48" t="s">
        <v>46</v>
      </c>
      <c r="AJ23" s="48" t="s">
        <v>391</v>
      </c>
      <c r="AK23" s="48" t="s">
        <v>421</v>
      </c>
      <c r="AL23" s="48" t="s">
        <v>471</v>
      </c>
      <c r="AM23" s="48">
        <v>40.0</v>
      </c>
      <c r="AN23" s="48">
        <v>20.0</v>
      </c>
      <c r="AO23" s="48" t="s">
        <v>484</v>
      </c>
      <c r="AP23" s="48" t="str">
        <f t="shared" si="1"/>
        <v>SIM</v>
      </c>
      <c r="AQ23" s="50" t="s">
        <v>391</v>
      </c>
      <c r="AR23" s="16" t="s">
        <v>110</v>
      </c>
    </row>
    <row r="24" ht="15.75" customHeight="1">
      <c r="A24" s="30" t="s">
        <v>497</v>
      </c>
      <c r="B24" s="30">
        <v>7.0</v>
      </c>
      <c r="C24" s="51" t="s">
        <v>423</v>
      </c>
      <c r="D24" s="30" t="s">
        <v>495</v>
      </c>
      <c r="E24" s="48" t="s">
        <v>495</v>
      </c>
      <c r="F24" s="48" t="s">
        <v>117</v>
      </c>
      <c r="G24" s="48" t="s">
        <v>418</v>
      </c>
      <c r="H24" s="48" t="s">
        <v>464</v>
      </c>
      <c r="I24" s="48" t="s">
        <v>18</v>
      </c>
      <c r="J24" s="48" t="s">
        <v>15</v>
      </c>
      <c r="K24" s="48" t="s">
        <v>16</v>
      </c>
      <c r="L24" s="16"/>
      <c r="M24" s="49" t="s">
        <v>449</v>
      </c>
      <c r="N24" s="16"/>
      <c r="O24" s="16"/>
      <c r="P24" s="47" t="s">
        <v>387</v>
      </c>
      <c r="Q24" s="49" t="s">
        <v>449</v>
      </c>
      <c r="R24" s="49" t="s">
        <v>490</v>
      </c>
      <c r="S24" s="47" t="s">
        <v>447</v>
      </c>
      <c r="T24" s="49" t="s">
        <v>465</v>
      </c>
      <c r="U24" s="49" t="s">
        <v>484</v>
      </c>
      <c r="V24" s="49">
        <v>40.0</v>
      </c>
      <c r="W24" s="49" t="s">
        <v>484</v>
      </c>
      <c r="X24" s="48" t="s">
        <v>496</v>
      </c>
      <c r="Y24" s="48" t="s">
        <v>389</v>
      </c>
      <c r="Z24" s="48" t="s">
        <v>470</v>
      </c>
      <c r="AA24" s="48" t="s">
        <v>43</v>
      </c>
      <c r="AB24" s="48" t="s">
        <v>46</v>
      </c>
      <c r="AC24" s="48" t="s">
        <v>46</v>
      </c>
      <c r="AD24" s="48" t="s">
        <v>391</v>
      </c>
      <c r="AE24" s="48" t="s">
        <v>46</v>
      </c>
      <c r="AF24" s="48" t="s">
        <v>404</v>
      </c>
      <c r="AG24" s="16"/>
      <c r="AH24" s="48" t="s">
        <v>46</v>
      </c>
      <c r="AI24" s="48" t="s">
        <v>46</v>
      </c>
      <c r="AJ24" s="48" t="s">
        <v>391</v>
      </c>
      <c r="AK24" s="48" t="s">
        <v>421</v>
      </c>
      <c r="AL24" s="48" t="s">
        <v>471</v>
      </c>
      <c r="AM24" s="48">
        <v>40.0</v>
      </c>
      <c r="AN24" s="48">
        <v>20.0</v>
      </c>
      <c r="AO24" s="48" t="s">
        <v>484</v>
      </c>
      <c r="AP24" s="48" t="str">
        <f t="shared" si="1"/>
        <v>SIM</v>
      </c>
      <c r="AQ24" s="50" t="s">
        <v>391</v>
      </c>
      <c r="AR24" s="16" t="s">
        <v>117</v>
      </c>
    </row>
    <row r="25" ht="15.75" customHeight="1">
      <c r="A25" s="30" t="s">
        <v>140</v>
      </c>
      <c r="B25" s="30">
        <v>7.0</v>
      </c>
      <c r="C25" s="51" t="s">
        <v>423</v>
      </c>
      <c r="D25" s="30" t="s">
        <v>495</v>
      </c>
      <c r="E25" s="48" t="s">
        <v>495</v>
      </c>
      <c r="F25" s="48" t="s">
        <v>122</v>
      </c>
      <c r="G25" s="48" t="s">
        <v>418</v>
      </c>
      <c r="H25" s="48" t="s">
        <v>464</v>
      </c>
      <c r="I25" s="48" t="s">
        <v>18</v>
      </c>
      <c r="J25" s="48" t="s">
        <v>15</v>
      </c>
      <c r="K25" s="48" t="s">
        <v>16</v>
      </c>
      <c r="L25" s="16"/>
      <c r="M25" s="49" t="s">
        <v>498</v>
      </c>
      <c r="N25" s="16"/>
      <c r="O25" s="16"/>
      <c r="P25" s="47" t="s">
        <v>387</v>
      </c>
      <c r="Q25" s="49" t="s">
        <v>498</v>
      </c>
      <c r="R25" s="49" t="s">
        <v>499</v>
      </c>
      <c r="S25" s="47" t="s">
        <v>447</v>
      </c>
      <c r="T25" s="49" t="s">
        <v>500</v>
      </c>
      <c r="U25" s="49" t="s">
        <v>468</v>
      </c>
      <c r="V25" s="52">
        <v>60.0</v>
      </c>
      <c r="W25" s="49" t="s">
        <v>468</v>
      </c>
      <c r="X25" s="48" t="s">
        <v>501</v>
      </c>
      <c r="Y25" s="48" t="s">
        <v>389</v>
      </c>
      <c r="Z25" s="48" t="s">
        <v>470</v>
      </c>
      <c r="AA25" s="48" t="s">
        <v>43</v>
      </c>
      <c r="AB25" s="48" t="s">
        <v>46</v>
      </c>
      <c r="AC25" s="48" t="s">
        <v>46</v>
      </c>
      <c r="AD25" s="48" t="s">
        <v>391</v>
      </c>
      <c r="AE25" s="48" t="s">
        <v>46</v>
      </c>
      <c r="AF25" s="48" t="s">
        <v>404</v>
      </c>
      <c r="AG25" s="16"/>
      <c r="AH25" s="48" t="s">
        <v>46</v>
      </c>
      <c r="AI25" s="48" t="s">
        <v>46</v>
      </c>
      <c r="AJ25" s="48" t="s">
        <v>391</v>
      </c>
      <c r="AK25" s="48" t="s">
        <v>421</v>
      </c>
      <c r="AL25" s="48" t="s">
        <v>471</v>
      </c>
      <c r="AM25" s="48">
        <v>60.0</v>
      </c>
      <c r="AN25" s="48">
        <v>32.0</v>
      </c>
      <c r="AO25" s="48" t="s">
        <v>468</v>
      </c>
      <c r="AP25" s="48" t="str">
        <f t="shared" si="1"/>
        <v>SIM</v>
      </c>
      <c r="AQ25" s="50" t="s">
        <v>391</v>
      </c>
      <c r="AR25" s="16" t="s">
        <v>122</v>
      </c>
    </row>
    <row r="26" ht="15.75" customHeight="1">
      <c r="A26" s="30" t="s">
        <v>145</v>
      </c>
      <c r="B26" s="30">
        <v>7.0</v>
      </c>
      <c r="C26" s="51" t="s">
        <v>423</v>
      </c>
      <c r="D26" s="30" t="s">
        <v>495</v>
      </c>
      <c r="E26" s="48" t="s">
        <v>495</v>
      </c>
      <c r="F26" s="48" t="s">
        <v>127</v>
      </c>
      <c r="G26" s="48" t="s">
        <v>418</v>
      </c>
      <c r="H26" s="48" t="s">
        <v>464</v>
      </c>
      <c r="I26" s="48" t="s">
        <v>18</v>
      </c>
      <c r="J26" s="48" t="s">
        <v>15</v>
      </c>
      <c r="K26" s="48" t="s">
        <v>16</v>
      </c>
      <c r="L26" s="16"/>
      <c r="M26" s="49" t="s">
        <v>459</v>
      </c>
      <c r="N26" s="16"/>
      <c r="O26" s="16"/>
      <c r="P26" s="47" t="s">
        <v>387</v>
      </c>
      <c r="Q26" s="49" t="s">
        <v>459</v>
      </c>
      <c r="R26" s="49" t="s">
        <v>465</v>
      </c>
      <c r="S26" s="47" t="s">
        <v>447</v>
      </c>
      <c r="T26" s="49" t="s">
        <v>473</v>
      </c>
      <c r="U26" s="49" t="s">
        <v>477</v>
      </c>
      <c r="V26" s="52">
        <v>50.0</v>
      </c>
      <c r="W26" s="49" t="s">
        <v>477</v>
      </c>
      <c r="X26" s="48" t="s">
        <v>461</v>
      </c>
      <c r="Y26" s="48" t="s">
        <v>389</v>
      </c>
      <c r="Z26" s="48" t="s">
        <v>470</v>
      </c>
      <c r="AA26" s="48" t="s">
        <v>43</v>
      </c>
      <c r="AB26" s="48" t="s">
        <v>46</v>
      </c>
      <c r="AC26" s="48" t="s">
        <v>46</v>
      </c>
      <c r="AD26" s="48" t="s">
        <v>391</v>
      </c>
      <c r="AE26" s="48" t="s">
        <v>46</v>
      </c>
      <c r="AF26" s="48" t="s">
        <v>404</v>
      </c>
      <c r="AG26" s="16"/>
      <c r="AH26" s="48" t="s">
        <v>46</v>
      </c>
      <c r="AI26" s="48" t="s">
        <v>46</v>
      </c>
      <c r="AJ26" s="48" t="s">
        <v>391</v>
      </c>
      <c r="AK26" s="48" t="s">
        <v>421</v>
      </c>
      <c r="AL26" s="48" t="s">
        <v>471</v>
      </c>
      <c r="AM26" s="48">
        <v>50.0</v>
      </c>
      <c r="AN26" s="48">
        <v>30.0</v>
      </c>
      <c r="AO26" s="48" t="s">
        <v>477</v>
      </c>
      <c r="AP26" s="48" t="str">
        <f t="shared" si="1"/>
        <v>SIM</v>
      </c>
      <c r="AQ26" s="50" t="s">
        <v>391</v>
      </c>
      <c r="AR26" s="16" t="s">
        <v>127</v>
      </c>
    </row>
    <row r="27" ht="15.75" customHeight="1">
      <c r="A27" s="30" t="s">
        <v>149</v>
      </c>
      <c r="B27" s="30">
        <v>8.0</v>
      </c>
      <c r="C27" s="51" t="s">
        <v>423</v>
      </c>
      <c r="D27" s="30" t="s">
        <v>502</v>
      </c>
      <c r="E27" s="48" t="s">
        <v>503</v>
      </c>
      <c r="F27" s="48" t="s">
        <v>154</v>
      </c>
      <c r="G27" s="48" t="s">
        <v>444</v>
      </c>
      <c r="H27" s="48" t="s">
        <v>385</v>
      </c>
      <c r="I27" s="48" t="s">
        <v>18</v>
      </c>
      <c r="J27" s="48" t="s">
        <v>15</v>
      </c>
      <c r="K27" s="48" t="s">
        <v>16</v>
      </c>
      <c r="L27" s="16"/>
      <c r="M27" s="49" t="s">
        <v>459</v>
      </c>
      <c r="N27" s="16"/>
      <c r="O27" s="16"/>
      <c r="P27" s="47" t="s">
        <v>387</v>
      </c>
      <c r="Q27" s="49" t="s">
        <v>459</v>
      </c>
      <c r="R27" s="49" t="s">
        <v>465</v>
      </c>
      <c r="S27" s="47" t="s">
        <v>504</v>
      </c>
      <c r="T27" s="49" t="s">
        <v>505</v>
      </c>
      <c r="U27" s="49" t="s">
        <v>484</v>
      </c>
      <c r="V27" s="49" t="s">
        <v>472</v>
      </c>
      <c r="W27" s="49" t="s">
        <v>472</v>
      </c>
      <c r="X27" s="48" t="s">
        <v>492</v>
      </c>
      <c r="Y27" s="48" t="s">
        <v>389</v>
      </c>
      <c r="Z27" s="16"/>
      <c r="AA27" s="48" t="s">
        <v>14</v>
      </c>
      <c r="AB27" s="48" t="s">
        <v>46</v>
      </c>
      <c r="AC27" s="48" t="s">
        <v>46</v>
      </c>
      <c r="AD27" s="48" t="s">
        <v>391</v>
      </c>
      <c r="AE27" s="48" t="s">
        <v>46</v>
      </c>
      <c r="AF27" s="16"/>
      <c r="AG27" s="16"/>
      <c r="AH27" s="48" t="s">
        <v>46</v>
      </c>
      <c r="AI27" s="48" t="s">
        <v>46</v>
      </c>
      <c r="AJ27" s="48" t="s">
        <v>391</v>
      </c>
      <c r="AK27" s="48" t="s">
        <v>421</v>
      </c>
      <c r="AL27" s="48" t="s">
        <v>440</v>
      </c>
      <c r="AM27" s="48">
        <v>45.0</v>
      </c>
      <c r="AN27" s="48">
        <v>30.0</v>
      </c>
      <c r="AO27" s="48" t="s">
        <v>472</v>
      </c>
      <c r="AP27" s="53" t="s">
        <v>391</v>
      </c>
      <c r="AQ27" s="50" t="s">
        <v>391</v>
      </c>
      <c r="AR27" s="16" t="s">
        <v>154</v>
      </c>
    </row>
    <row r="28" ht="15.75" customHeight="1">
      <c r="A28" s="30" t="s">
        <v>153</v>
      </c>
      <c r="B28" s="30">
        <v>8.0</v>
      </c>
      <c r="C28" s="51" t="s">
        <v>423</v>
      </c>
      <c r="D28" s="30" t="s">
        <v>502</v>
      </c>
      <c r="E28" s="48" t="s">
        <v>506</v>
      </c>
      <c r="F28" s="48" t="s">
        <v>151</v>
      </c>
      <c r="G28" s="48" t="s">
        <v>384</v>
      </c>
      <c r="H28" s="48" t="s">
        <v>385</v>
      </c>
      <c r="I28" s="48" t="s">
        <v>18</v>
      </c>
      <c r="J28" s="48" t="s">
        <v>15</v>
      </c>
      <c r="K28" s="48" t="s">
        <v>16</v>
      </c>
      <c r="L28" s="16"/>
      <c r="M28" s="49" t="s">
        <v>459</v>
      </c>
      <c r="N28" s="16"/>
      <c r="O28" s="16"/>
      <c r="P28" s="47" t="s">
        <v>387</v>
      </c>
      <c r="Q28" s="49" t="s">
        <v>459</v>
      </c>
      <c r="R28" s="49" t="s">
        <v>465</v>
      </c>
      <c r="S28" s="47" t="s">
        <v>504</v>
      </c>
      <c r="T28" s="49" t="s">
        <v>505</v>
      </c>
      <c r="U28" s="49" t="s">
        <v>484</v>
      </c>
      <c r="V28" s="49" t="s">
        <v>484</v>
      </c>
      <c r="W28" s="49" t="s">
        <v>484</v>
      </c>
      <c r="X28" s="48" t="s">
        <v>507</v>
      </c>
      <c r="Y28" s="48" t="s">
        <v>389</v>
      </c>
      <c r="Z28" s="16"/>
      <c r="AA28" s="48" t="s">
        <v>14</v>
      </c>
      <c r="AB28" s="48" t="s">
        <v>46</v>
      </c>
      <c r="AC28" s="48" t="s">
        <v>46</v>
      </c>
      <c r="AD28" s="48" t="s">
        <v>391</v>
      </c>
      <c r="AE28" s="48" t="s">
        <v>46</v>
      </c>
      <c r="AF28" s="16"/>
      <c r="AG28" s="16"/>
      <c r="AH28" s="48" t="s">
        <v>46</v>
      </c>
      <c r="AI28" s="48" t="s">
        <v>46</v>
      </c>
      <c r="AJ28" s="48" t="s">
        <v>391</v>
      </c>
      <c r="AK28" s="48" t="s">
        <v>421</v>
      </c>
      <c r="AL28" s="48" t="s">
        <v>440</v>
      </c>
      <c r="AM28" s="48">
        <v>40.0</v>
      </c>
      <c r="AN28" s="48">
        <v>30.0</v>
      </c>
      <c r="AO28" s="48" t="s">
        <v>484</v>
      </c>
      <c r="AP28" s="53" t="s">
        <v>391</v>
      </c>
      <c r="AQ28" s="50" t="s">
        <v>391</v>
      </c>
      <c r="AR28" s="16" t="s">
        <v>151</v>
      </c>
    </row>
    <row r="29" ht="15.75" customHeight="1">
      <c r="A29" s="30" t="s">
        <v>167</v>
      </c>
      <c r="B29" s="30">
        <v>8.0</v>
      </c>
      <c r="C29" s="51" t="s">
        <v>423</v>
      </c>
      <c r="D29" s="30" t="s">
        <v>502</v>
      </c>
      <c r="E29" s="48" t="s">
        <v>508</v>
      </c>
      <c r="F29" s="48" t="s">
        <v>168</v>
      </c>
      <c r="G29" s="48" t="s">
        <v>455</v>
      </c>
      <c r="H29" s="48" t="s">
        <v>385</v>
      </c>
      <c r="I29" s="48" t="s">
        <v>18</v>
      </c>
      <c r="J29" s="48" t="s">
        <v>15</v>
      </c>
      <c r="K29" s="48" t="s">
        <v>16</v>
      </c>
      <c r="L29" s="16"/>
      <c r="M29" s="49" t="s">
        <v>465</v>
      </c>
      <c r="N29" s="16"/>
      <c r="O29" s="16"/>
      <c r="P29" s="47" t="s">
        <v>387</v>
      </c>
      <c r="Q29" s="49" t="s">
        <v>465</v>
      </c>
      <c r="R29" s="49" t="s">
        <v>466</v>
      </c>
      <c r="S29" s="47" t="s">
        <v>447</v>
      </c>
      <c r="T29" s="49" t="s">
        <v>467</v>
      </c>
      <c r="U29" s="49" t="s">
        <v>468</v>
      </c>
      <c r="V29" s="49">
        <v>60.0</v>
      </c>
      <c r="W29" s="49" t="s">
        <v>468</v>
      </c>
      <c r="X29" s="48" t="s">
        <v>509</v>
      </c>
      <c r="Y29" s="48" t="s">
        <v>389</v>
      </c>
      <c r="Z29" s="16"/>
      <c r="AA29" s="48" t="s">
        <v>14</v>
      </c>
      <c r="AB29" s="48" t="s">
        <v>46</v>
      </c>
      <c r="AC29" s="48" t="s">
        <v>46</v>
      </c>
      <c r="AD29" s="48" t="s">
        <v>391</v>
      </c>
      <c r="AE29" s="48" t="s">
        <v>46</v>
      </c>
      <c r="AF29" s="16"/>
      <c r="AG29" s="16"/>
      <c r="AH29" s="48" t="s">
        <v>46</v>
      </c>
      <c r="AI29" s="48" t="s">
        <v>46</v>
      </c>
      <c r="AJ29" s="48" t="s">
        <v>391</v>
      </c>
      <c r="AK29" s="48" t="s">
        <v>421</v>
      </c>
      <c r="AL29" s="48" t="s">
        <v>440</v>
      </c>
      <c r="AM29" s="48">
        <v>60.0</v>
      </c>
      <c r="AN29" s="48">
        <v>33.0</v>
      </c>
      <c r="AO29" s="48" t="s">
        <v>468</v>
      </c>
      <c r="AP29" s="53" t="s">
        <v>391</v>
      </c>
      <c r="AQ29" s="50" t="s">
        <v>391</v>
      </c>
      <c r="AR29" s="16" t="s">
        <v>168</v>
      </c>
    </row>
    <row r="30" ht="15.75" customHeight="1">
      <c r="A30" s="30" t="s">
        <v>170</v>
      </c>
      <c r="B30" s="30">
        <v>9.0</v>
      </c>
      <c r="C30" s="51" t="s">
        <v>510</v>
      </c>
      <c r="D30" s="30" t="s">
        <v>511</v>
      </c>
      <c r="E30" s="48" t="s">
        <v>512</v>
      </c>
      <c r="F30" s="48" t="s">
        <v>188</v>
      </c>
      <c r="G30" s="48" t="s">
        <v>384</v>
      </c>
      <c r="H30" s="48" t="s">
        <v>385</v>
      </c>
      <c r="I30" s="48" t="s">
        <v>18</v>
      </c>
      <c r="J30" s="48" t="s">
        <v>15</v>
      </c>
      <c r="K30" s="48" t="s">
        <v>16</v>
      </c>
      <c r="L30" s="16"/>
      <c r="M30" s="49" t="s">
        <v>513</v>
      </c>
      <c r="N30" s="16"/>
      <c r="O30" s="16"/>
      <c r="P30" s="47" t="s">
        <v>514</v>
      </c>
      <c r="Q30" s="49" t="s">
        <v>513</v>
      </c>
      <c r="R30" s="49" t="s">
        <v>515</v>
      </c>
      <c r="S30" s="47" t="s">
        <v>516</v>
      </c>
      <c r="T30" s="49" t="s">
        <v>517</v>
      </c>
      <c r="U30" s="49" t="s">
        <v>518</v>
      </c>
      <c r="V30" s="49" t="s">
        <v>519</v>
      </c>
      <c r="W30" s="49" t="s">
        <v>519</v>
      </c>
      <c r="X30" s="48" t="s">
        <v>520</v>
      </c>
      <c r="Y30" s="48" t="s">
        <v>389</v>
      </c>
      <c r="Z30" s="16"/>
      <c r="AA30" s="48" t="s">
        <v>43</v>
      </c>
      <c r="AB30" s="48" t="s">
        <v>46</v>
      </c>
      <c r="AC30" s="48" t="s">
        <v>46</v>
      </c>
      <c r="AD30" s="48" t="s">
        <v>391</v>
      </c>
      <c r="AE30" s="48" t="s">
        <v>46</v>
      </c>
      <c r="AF30" s="16" t="s">
        <v>404</v>
      </c>
      <c r="AG30" s="16" t="s">
        <v>404</v>
      </c>
      <c r="AH30" s="48" t="s">
        <v>46</v>
      </c>
      <c r="AI30" s="48" t="s">
        <v>46</v>
      </c>
      <c r="AJ30" s="48" t="s">
        <v>391</v>
      </c>
      <c r="AK30" s="48" t="s">
        <v>421</v>
      </c>
      <c r="AL30" s="48" t="s">
        <v>521</v>
      </c>
      <c r="AM30" s="48">
        <v>65.0</v>
      </c>
      <c r="AN30" s="48">
        <v>21.0</v>
      </c>
      <c r="AO30" s="48" t="s">
        <v>519</v>
      </c>
      <c r="AP30" s="48" t="str">
        <f t="shared" ref="AP30:AP36" si="2">IF($AA30="prato_principal","SIM","NÃO")</f>
        <v>SIM</v>
      </c>
      <c r="AQ30" s="50" t="s">
        <v>391</v>
      </c>
      <c r="AR30" s="16" t="s">
        <v>188</v>
      </c>
    </row>
    <row r="31" ht="15.75" customHeight="1">
      <c r="A31" s="30" t="s">
        <v>173</v>
      </c>
      <c r="B31" s="30">
        <v>10.0</v>
      </c>
      <c r="C31" s="51" t="s">
        <v>510</v>
      </c>
      <c r="D31" s="30" t="s">
        <v>522</v>
      </c>
      <c r="E31" s="48" t="s">
        <v>523</v>
      </c>
      <c r="F31" s="48" t="s">
        <v>191</v>
      </c>
      <c r="G31" s="48" t="s">
        <v>444</v>
      </c>
      <c r="H31" s="48" t="s">
        <v>385</v>
      </c>
      <c r="I31" s="48" t="s">
        <v>18</v>
      </c>
      <c r="J31" s="48" t="s">
        <v>15</v>
      </c>
      <c r="K31" s="48" t="s">
        <v>16</v>
      </c>
      <c r="L31" s="16"/>
      <c r="M31" s="49" t="s">
        <v>524</v>
      </c>
      <c r="N31" s="16"/>
      <c r="O31" s="16"/>
      <c r="P31" s="47" t="s">
        <v>514</v>
      </c>
      <c r="Q31" s="49" t="s">
        <v>524</v>
      </c>
      <c r="R31" s="49" t="s">
        <v>525</v>
      </c>
      <c r="S31" s="47" t="s">
        <v>516</v>
      </c>
      <c r="T31" s="49" t="s">
        <v>526</v>
      </c>
      <c r="U31" s="49" t="s">
        <v>475</v>
      </c>
      <c r="V31" s="49" t="s">
        <v>475</v>
      </c>
      <c r="W31" s="49" t="s">
        <v>475</v>
      </c>
      <c r="X31" s="48" t="s">
        <v>527</v>
      </c>
      <c r="Y31" s="48" t="s">
        <v>389</v>
      </c>
      <c r="Z31" s="16"/>
      <c r="AA31" s="48" t="s">
        <v>43</v>
      </c>
      <c r="AB31" s="48" t="s">
        <v>46</v>
      </c>
      <c r="AC31" s="48" t="s">
        <v>46</v>
      </c>
      <c r="AD31" s="48" t="s">
        <v>391</v>
      </c>
      <c r="AE31" s="48" t="s">
        <v>46</v>
      </c>
      <c r="AF31" s="16" t="s">
        <v>404</v>
      </c>
      <c r="AG31" s="16" t="s">
        <v>404</v>
      </c>
      <c r="AH31" s="48" t="s">
        <v>46</v>
      </c>
      <c r="AI31" s="48" t="s">
        <v>46</v>
      </c>
      <c r="AJ31" s="48" t="s">
        <v>391</v>
      </c>
      <c r="AK31" s="48" t="s">
        <v>421</v>
      </c>
      <c r="AL31" s="48" t="s">
        <v>521</v>
      </c>
      <c r="AM31" s="48">
        <v>80.0</v>
      </c>
      <c r="AN31" s="48">
        <v>24.0</v>
      </c>
      <c r="AO31" s="48" t="s">
        <v>475</v>
      </c>
      <c r="AP31" s="48" t="str">
        <f t="shared" si="2"/>
        <v>SIM</v>
      </c>
      <c r="AQ31" s="50" t="s">
        <v>391</v>
      </c>
      <c r="AR31" s="16" t="s">
        <v>191</v>
      </c>
    </row>
    <row r="32" ht="15.75" customHeight="1">
      <c r="A32" s="30" t="s">
        <v>177</v>
      </c>
      <c r="B32" s="47">
        <v>11.0</v>
      </c>
      <c r="C32" s="51" t="s">
        <v>510</v>
      </c>
      <c r="D32" s="30" t="s">
        <v>528</v>
      </c>
      <c r="E32" s="48" t="s">
        <v>529</v>
      </c>
      <c r="F32" s="48" t="s">
        <v>194</v>
      </c>
      <c r="G32" s="48" t="s">
        <v>455</v>
      </c>
      <c r="H32" s="48" t="s">
        <v>385</v>
      </c>
      <c r="I32" s="48" t="s">
        <v>18</v>
      </c>
      <c r="J32" s="48" t="s">
        <v>15</v>
      </c>
      <c r="K32" s="48" t="s">
        <v>16</v>
      </c>
      <c r="L32" s="16"/>
      <c r="M32" s="49" t="s">
        <v>477</v>
      </c>
      <c r="N32" s="16"/>
      <c r="O32" s="16"/>
      <c r="P32" s="47" t="s">
        <v>514</v>
      </c>
      <c r="Q32" s="49" t="s">
        <v>477</v>
      </c>
      <c r="R32" s="49" t="s">
        <v>530</v>
      </c>
      <c r="S32" s="47" t="s">
        <v>516</v>
      </c>
      <c r="T32" s="49" t="s">
        <v>531</v>
      </c>
      <c r="U32" s="49" t="s">
        <v>532</v>
      </c>
      <c r="V32" s="49" t="s">
        <v>532</v>
      </c>
      <c r="W32" s="49" t="s">
        <v>532</v>
      </c>
      <c r="X32" s="48" t="s">
        <v>533</v>
      </c>
      <c r="Y32" s="48" t="s">
        <v>389</v>
      </c>
      <c r="Z32" s="16"/>
      <c r="AA32" s="48" t="s">
        <v>43</v>
      </c>
      <c r="AB32" s="48" t="s">
        <v>46</v>
      </c>
      <c r="AC32" s="48" t="s">
        <v>46</v>
      </c>
      <c r="AD32" s="48" t="s">
        <v>391</v>
      </c>
      <c r="AE32" s="48" t="s">
        <v>46</v>
      </c>
      <c r="AF32" s="16" t="s">
        <v>404</v>
      </c>
      <c r="AG32" s="16" t="s">
        <v>404</v>
      </c>
      <c r="AH32" s="48" t="s">
        <v>46</v>
      </c>
      <c r="AI32" s="48" t="s">
        <v>46</v>
      </c>
      <c r="AJ32" s="48" t="s">
        <v>391</v>
      </c>
      <c r="AK32" s="48" t="s">
        <v>421</v>
      </c>
      <c r="AL32" s="48" t="s">
        <v>521</v>
      </c>
      <c r="AM32" s="48">
        <v>160.0</v>
      </c>
      <c r="AN32" s="48">
        <v>50.0</v>
      </c>
      <c r="AO32" s="48" t="s">
        <v>532</v>
      </c>
      <c r="AP32" s="48" t="str">
        <f t="shared" si="2"/>
        <v>SIM</v>
      </c>
      <c r="AQ32" s="50" t="s">
        <v>391</v>
      </c>
      <c r="AR32" s="16" t="s">
        <v>194</v>
      </c>
    </row>
    <row r="33" ht="15.75" customHeight="1">
      <c r="A33" s="30" t="s">
        <v>180</v>
      </c>
      <c r="B33" s="30">
        <v>12.0</v>
      </c>
      <c r="C33" s="51" t="s">
        <v>510</v>
      </c>
      <c r="D33" s="51" t="s">
        <v>534</v>
      </c>
      <c r="E33" s="48" t="s">
        <v>535</v>
      </c>
      <c r="F33" s="48" t="s">
        <v>201</v>
      </c>
      <c r="G33" s="48" t="s">
        <v>418</v>
      </c>
      <c r="H33" s="48" t="s">
        <v>419</v>
      </c>
      <c r="I33" s="48" t="s">
        <v>18</v>
      </c>
      <c r="J33" s="48" t="s">
        <v>15</v>
      </c>
      <c r="K33" s="48" t="s">
        <v>16</v>
      </c>
      <c r="L33" s="16"/>
      <c r="M33" s="49" t="s">
        <v>536</v>
      </c>
      <c r="N33" s="16"/>
      <c r="O33" s="16"/>
      <c r="P33" s="47" t="s">
        <v>514</v>
      </c>
      <c r="Q33" s="49" t="s">
        <v>536</v>
      </c>
      <c r="R33" s="49" t="s">
        <v>537</v>
      </c>
      <c r="S33" s="47" t="s">
        <v>538</v>
      </c>
      <c r="T33" s="49" t="s">
        <v>539</v>
      </c>
      <c r="U33" s="49" t="s">
        <v>449</v>
      </c>
      <c r="V33" s="49" t="s">
        <v>456</v>
      </c>
      <c r="W33" s="49" t="s">
        <v>456</v>
      </c>
      <c r="X33" s="48" t="s">
        <v>540</v>
      </c>
      <c r="Y33" s="48" t="s">
        <v>389</v>
      </c>
      <c r="Z33" s="16"/>
      <c r="AA33" s="48" t="s">
        <v>197</v>
      </c>
      <c r="AB33" s="48" t="s">
        <v>46</v>
      </c>
      <c r="AC33" s="48" t="s">
        <v>46</v>
      </c>
      <c r="AD33" s="48" t="s">
        <v>391</v>
      </c>
      <c r="AE33" s="48" t="s">
        <v>46</v>
      </c>
      <c r="AF33" s="16"/>
      <c r="AG33" s="48"/>
      <c r="AH33" s="48" t="s">
        <v>46</v>
      </c>
      <c r="AI33" s="48" t="s">
        <v>46</v>
      </c>
      <c r="AJ33" s="48" t="s">
        <v>391</v>
      </c>
      <c r="AK33" s="48" t="s">
        <v>421</v>
      </c>
      <c r="AL33" s="48" t="s">
        <v>541</v>
      </c>
      <c r="AM33" s="48">
        <v>15.0</v>
      </c>
      <c r="AN33" s="48">
        <v>4.3</v>
      </c>
      <c r="AO33" s="48" t="s">
        <v>456</v>
      </c>
      <c r="AP33" s="48" t="str">
        <f t="shared" si="2"/>
        <v>NÃO</v>
      </c>
      <c r="AQ33" s="50" t="s">
        <v>391</v>
      </c>
      <c r="AR33" s="16" t="s">
        <v>201</v>
      </c>
    </row>
    <row r="34" ht="15.75" customHeight="1">
      <c r="A34" s="30" t="s">
        <v>183</v>
      </c>
      <c r="B34" s="30">
        <v>12.0</v>
      </c>
      <c r="C34" s="51" t="s">
        <v>510</v>
      </c>
      <c r="D34" s="51" t="s">
        <v>534</v>
      </c>
      <c r="E34" s="48" t="s">
        <v>542</v>
      </c>
      <c r="F34" s="48" t="s">
        <v>198</v>
      </c>
      <c r="G34" s="48" t="s">
        <v>418</v>
      </c>
      <c r="H34" s="48" t="s">
        <v>419</v>
      </c>
      <c r="I34" s="48" t="s">
        <v>18</v>
      </c>
      <c r="J34" s="48" t="s">
        <v>15</v>
      </c>
      <c r="K34" s="48" t="s">
        <v>16</v>
      </c>
      <c r="L34" s="16"/>
      <c r="M34" s="49" t="s">
        <v>543</v>
      </c>
      <c r="N34" s="16"/>
      <c r="O34" s="16"/>
      <c r="P34" s="47" t="s">
        <v>514</v>
      </c>
      <c r="Q34" s="49" t="s">
        <v>543</v>
      </c>
      <c r="R34" s="49" t="s">
        <v>544</v>
      </c>
      <c r="S34" s="47" t="s">
        <v>538</v>
      </c>
      <c r="T34" s="49" t="s">
        <v>545</v>
      </c>
      <c r="U34" s="49" t="s">
        <v>449</v>
      </c>
      <c r="V34" s="49" t="s">
        <v>546</v>
      </c>
      <c r="W34" s="49" t="s">
        <v>546</v>
      </c>
      <c r="X34" s="48" t="s">
        <v>547</v>
      </c>
      <c r="Y34" s="48" t="s">
        <v>389</v>
      </c>
      <c r="Z34" s="16"/>
      <c r="AA34" s="48" t="s">
        <v>197</v>
      </c>
      <c r="AB34" s="48" t="s">
        <v>46</v>
      </c>
      <c r="AC34" s="48" t="s">
        <v>46</v>
      </c>
      <c r="AD34" s="48" t="s">
        <v>391</v>
      </c>
      <c r="AE34" s="48" t="s">
        <v>46</v>
      </c>
      <c r="AF34" s="16"/>
      <c r="AG34" s="48"/>
      <c r="AH34" s="48" t="s">
        <v>46</v>
      </c>
      <c r="AI34" s="48" t="s">
        <v>46</v>
      </c>
      <c r="AJ34" s="48" t="s">
        <v>391</v>
      </c>
      <c r="AK34" s="48" t="s">
        <v>421</v>
      </c>
      <c r="AL34" s="48" t="s">
        <v>541</v>
      </c>
      <c r="AM34" s="48">
        <v>12.0</v>
      </c>
      <c r="AN34" s="48">
        <v>3.8</v>
      </c>
      <c r="AO34" s="48" t="s">
        <v>546</v>
      </c>
      <c r="AP34" s="48" t="str">
        <f t="shared" si="2"/>
        <v>NÃO</v>
      </c>
      <c r="AQ34" s="50" t="s">
        <v>391</v>
      </c>
      <c r="AR34" s="16" t="s">
        <v>198</v>
      </c>
    </row>
    <row r="35" ht="15.75" customHeight="1">
      <c r="A35" s="30" t="s">
        <v>186</v>
      </c>
      <c r="B35" s="30">
        <v>12.0</v>
      </c>
      <c r="C35" s="51" t="s">
        <v>510</v>
      </c>
      <c r="D35" s="51" t="s">
        <v>534</v>
      </c>
      <c r="E35" s="48" t="s">
        <v>548</v>
      </c>
      <c r="F35" s="48" t="s">
        <v>204</v>
      </c>
      <c r="G35" s="48" t="s">
        <v>455</v>
      </c>
      <c r="H35" s="48" t="s">
        <v>419</v>
      </c>
      <c r="I35" s="48" t="s">
        <v>18</v>
      </c>
      <c r="J35" s="48" t="s">
        <v>15</v>
      </c>
      <c r="K35" s="48" t="s">
        <v>16</v>
      </c>
      <c r="L35" s="16"/>
      <c r="M35" s="49" t="s">
        <v>426</v>
      </c>
      <c r="N35" s="16"/>
      <c r="O35" s="16"/>
      <c r="P35" s="47" t="s">
        <v>514</v>
      </c>
      <c r="Q35" s="49" t="s">
        <v>426</v>
      </c>
      <c r="R35" s="49" t="s">
        <v>549</v>
      </c>
      <c r="S35" s="47" t="s">
        <v>538</v>
      </c>
      <c r="T35" s="49" t="s">
        <v>550</v>
      </c>
      <c r="U35" s="49" t="s">
        <v>449</v>
      </c>
      <c r="V35" s="49" t="s">
        <v>551</v>
      </c>
      <c r="W35" s="49" t="s">
        <v>551</v>
      </c>
      <c r="X35" s="48" t="s">
        <v>552</v>
      </c>
      <c r="Y35" s="48" t="s">
        <v>389</v>
      </c>
      <c r="Z35" s="16"/>
      <c r="AA35" s="48" t="s">
        <v>197</v>
      </c>
      <c r="AB35" s="48" t="s">
        <v>46</v>
      </c>
      <c r="AC35" s="48" t="s">
        <v>46</v>
      </c>
      <c r="AD35" s="48" t="s">
        <v>391</v>
      </c>
      <c r="AE35" s="48" t="s">
        <v>46</v>
      </c>
      <c r="AF35" s="16"/>
      <c r="AG35" s="48"/>
      <c r="AH35" s="48" t="s">
        <v>46</v>
      </c>
      <c r="AI35" s="48" t="s">
        <v>46</v>
      </c>
      <c r="AJ35" s="48" t="s">
        <v>391</v>
      </c>
      <c r="AK35" s="48" t="s">
        <v>421</v>
      </c>
      <c r="AL35" s="48" t="s">
        <v>541</v>
      </c>
      <c r="AM35" s="48">
        <v>17.0</v>
      </c>
      <c r="AN35" s="48">
        <v>5.0</v>
      </c>
      <c r="AO35" s="48" t="s">
        <v>551</v>
      </c>
      <c r="AP35" s="48" t="str">
        <f t="shared" si="2"/>
        <v>NÃO</v>
      </c>
      <c r="AQ35" s="50" t="s">
        <v>391</v>
      </c>
      <c r="AR35" s="16" t="s">
        <v>204</v>
      </c>
    </row>
    <row r="36" ht="15.75" customHeight="1">
      <c r="A36" s="30" t="s">
        <v>190</v>
      </c>
      <c r="B36" s="30">
        <v>13.0</v>
      </c>
      <c r="C36" s="51" t="s">
        <v>510</v>
      </c>
      <c r="D36" s="30" t="s">
        <v>553</v>
      </c>
      <c r="E36" s="48" t="s">
        <v>554</v>
      </c>
      <c r="F36" s="48" t="s">
        <v>207</v>
      </c>
      <c r="G36" s="48" t="s">
        <v>418</v>
      </c>
      <c r="H36" s="48" t="s">
        <v>419</v>
      </c>
      <c r="I36" s="48" t="s">
        <v>18</v>
      </c>
      <c r="J36" s="48" t="s">
        <v>15</v>
      </c>
      <c r="K36" s="48" t="s">
        <v>16</v>
      </c>
      <c r="L36" s="16"/>
      <c r="M36" s="49" t="s">
        <v>426</v>
      </c>
      <c r="N36" s="16"/>
      <c r="O36" s="16"/>
      <c r="P36" s="47" t="s">
        <v>514</v>
      </c>
      <c r="Q36" s="49" t="s">
        <v>426</v>
      </c>
      <c r="R36" s="49" t="s">
        <v>549</v>
      </c>
      <c r="S36" s="47" t="s">
        <v>538</v>
      </c>
      <c r="T36" s="49" t="s">
        <v>550</v>
      </c>
      <c r="U36" s="49" t="s">
        <v>449</v>
      </c>
      <c r="V36" s="49" t="s">
        <v>551</v>
      </c>
      <c r="W36" s="49" t="s">
        <v>551</v>
      </c>
      <c r="X36" s="48" t="s">
        <v>552</v>
      </c>
      <c r="Y36" s="48" t="s">
        <v>389</v>
      </c>
      <c r="Z36" s="16"/>
      <c r="AA36" s="48" t="s">
        <v>197</v>
      </c>
      <c r="AB36" s="48" t="s">
        <v>46</v>
      </c>
      <c r="AC36" s="48" t="s">
        <v>46</v>
      </c>
      <c r="AD36" s="48" t="s">
        <v>391</v>
      </c>
      <c r="AE36" s="48" t="s">
        <v>46</v>
      </c>
      <c r="AF36" s="16"/>
      <c r="AG36" s="16"/>
      <c r="AH36" s="48" t="s">
        <v>46</v>
      </c>
      <c r="AI36" s="48" t="s">
        <v>46</v>
      </c>
      <c r="AJ36" s="48" t="s">
        <v>391</v>
      </c>
      <c r="AK36" s="48" t="s">
        <v>421</v>
      </c>
      <c r="AL36" s="48" t="s">
        <v>541</v>
      </c>
      <c r="AM36" s="48">
        <v>17.0</v>
      </c>
      <c r="AN36" s="48">
        <v>5.0</v>
      </c>
      <c r="AO36" s="48" t="s">
        <v>551</v>
      </c>
      <c r="AP36" s="48" t="str">
        <f t="shared" si="2"/>
        <v>NÃO</v>
      </c>
      <c r="AQ36" s="50" t="s">
        <v>391</v>
      </c>
      <c r="AR36" s="16" t="s">
        <v>207</v>
      </c>
    </row>
    <row r="37" ht="15.75" customHeight="1">
      <c r="A37" s="30" t="s">
        <v>193</v>
      </c>
      <c r="B37" s="30">
        <v>14.0</v>
      </c>
      <c r="C37" s="51" t="s">
        <v>416</v>
      </c>
      <c r="D37" s="47" t="s">
        <v>555</v>
      </c>
      <c r="E37" s="48" t="s">
        <v>555</v>
      </c>
      <c r="F37" s="48" t="s">
        <v>211</v>
      </c>
      <c r="G37" s="48" t="s">
        <v>384</v>
      </c>
      <c r="H37" s="48" t="s">
        <v>385</v>
      </c>
      <c r="I37" s="48" t="s">
        <v>18</v>
      </c>
      <c r="J37" s="48" t="s">
        <v>15</v>
      </c>
      <c r="K37" s="48" t="s">
        <v>16</v>
      </c>
      <c r="L37" s="16"/>
      <c r="M37" s="49" t="s">
        <v>459</v>
      </c>
      <c r="N37" s="16"/>
      <c r="O37" s="16"/>
      <c r="P37" s="47" t="s">
        <v>387</v>
      </c>
      <c r="Q37" s="49" t="s">
        <v>459</v>
      </c>
      <c r="R37" s="49" t="s">
        <v>465</v>
      </c>
      <c r="S37" s="47" t="s">
        <v>431</v>
      </c>
      <c r="T37" s="49" t="s">
        <v>556</v>
      </c>
      <c r="U37" s="49" t="s">
        <v>518</v>
      </c>
      <c r="V37" s="49" t="s">
        <v>518</v>
      </c>
      <c r="W37" s="49" t="s">
        <v>518</v>
      </c>
      <c r="X37" s="48" t="s">
        <v>434</v>
      </c>
      <c r="Y37" s="48" t="s">
        <v>389</v>
      </c>
      <c r="Z37" s="16"/>
      <c r="AA37" s="48" t="s">
        <v>174</v>
      </c>
      <c r="AB37" s="48" t="s">
        <v>46</v>
      </c>
      <c r="AC37" s="48" t="s">
        <v>46</v>
      </c>
      <c r="AD37" s="48" t="s">
        <v>391</v>
      </c>
      <c r="AE37" s="48" t="s">
        <v>46</v>
      </c>
      <c r="AF37" s="16"/>
      <c r="AG37" s="16" t="s">
        <v>404</v>
      </c>
      <c r="AH37" s="48" t="s">
        <v>46</v>
      </c>
      <c r="AI37" s="48" t="s">
        <v>46</v>
      </c>
      <c r="AJ37" s="48" t="s">
        <v>391</v>
      </c>
      <c r="AK37" s="48" t="s">
        <v>421</v>
      </c>
      <c r="AL37" s="48" t="s">
        <v>557</v>
      </c>
      <c r="AM37" s="48">
        <v>70.0</v>
      </c>
      <c r="AN37" s="48">
        <v>30.0</v>
      </c>
      <c r="AO37" s="48" t="s">
        <v>518</v>
      </c>
      <c r="AP37" s="53" t="s">
        <v>391</v>
      </c>
      <c r="AQ37" s="50" t="s">
        <v>391</v>
      </c>
      <c r="AR37" s="16" t="s">
        <v>211</v>
      </c>
    </row>
    <row r="38" ht="15.75" customHeight="1">
      <c r="A38" s="30" t="s">
        <v>196</v>
      </c>
      <c r="B38" s="30">
        <v>15.0</v>
      </c>
      <c r="C38" s="51" t="s">
        <v>416</v>
      </c>
      <c r="D38" s="47" t="s">
        <v>558</v>
      </c>
      <c r="E38" s="48" t="s">
        <v>558</v>
      </c>
      <c r="F38" s="48" t="s">
        <v>214</v>
      </c>
      <c r="G38" s="48" t="s">
        <v>444</v>
      </c>
      <c r="H38" s="48" t="s">
        <v>385</v>
      </c>
      <c r="I38" s="48" t="s">
        <v>18</v>
      </c>
      <c r="J38" s="48" t="s">
        <v>15</v>
      </c>
      <c r="K38" s="48" t="s">
        <v>16</v>
      </c>
      <c r="L38" s="16"/>
      <c r="M38" s="49" t="s">
        <v>459</v>
      </c>
      <c r="N38" s="16"/>
      <c r="O38" s="16"/>
      <c r="P38" s="47" t="s">
        <v>387</v>
      </c>
      <c r="Q38" s="49" t="s">
        <v>459</v>
      </c>
      <c r="R38" s="49" t="s">
        <v>465</v>
      </c>
      <c r="S38" s="47" t="s">
        <v>559</v>
      </c>
      <c r="T38" s="49" t="s">
        <v>560</v>
      </c>
      <c r="U38" s="49" t="s">
        <v>561</v>
      </c>
      <c r="V38" s="49" t="s">
        <v>475</v>
      </c>
      <c r="W38" s="49" t="s">
        <v>475</v>
      </c>
      <c r="X38" s="48" t="s">
        <v>562</v>
      </c>
      <c r="Y38" s="48" t="s">
        <v>389</v>
      </c>
      <c r="Z38" s="16"/>
      <c r="AA38" s="48" t="s">
        <v>174</v>
      </c>
      <c r="AB38" s="48" t="s">
        <v>46</v>
      </c>
      <c r="AC38" s="48" t="s">
        <v>46</v>
      </c>
      <c r="AD38" s="48" t="s">
        <v>391</v>
      </c>
      <c r="AE38" s="48" t="s">
        <v>46</v>
      </c>
      <c r="AF38" s="16"/>
      <c r="AG38" s="16" t="s">
        <v>404</v>
      </c>
      <c r="AH38" s="48" t="s">
        <v>46</v>
      </c>
      <c r="AI38" s="48" t="s">
        <v>46</v>
      </c>
      <c r="AJ38" s="48" t="s">
        <v>391</v>
      </c>
      <c r="AK38" s="48" t="s">
        <v>421</v>
      </c>
      <c r="AL38" s="48" t="s">
        <v>557</v>
      </c>
      <c r="AM38" s="48">
        <v>80.0</v>
      </c>
      <c r="AN38" s="48">
        <v>30.0</v>
      </c>
      <c r="AO38" s="48" t="s">
        <v>475</v>
      </c>
      <c r="AP38" s="53" t="s">
        <v>391</v>
      </c>
      <c r="AQ38" s="50" t="s">
        <v>391</v>
      </c>
      <c r="AR38" s="16" t="s">
        <v>214</v>
      </c>
    </row>
    <row r="39" ht="15.75" customHeight="1">
      <c r="A39" s="30" t="s">
        <v>200</v>
      </c>
      <c r="B39" s="30">
        <v>16.0</v>
      </c>
      <c r="C39" s="51" t="s">
        <v>416</v>
      </c>
      <c r="D39" s="47" t="s">
        <v>563</v>
      </c>
      <c r="E39" s="48" t="s">
        <v>563</v>
      </c>
      <c r="F39" s="48" t="s">
        <v>217</v>
      </c>
      <c r="G39" s="48" t="s">
        <v>455</v>
      </c>
      <c r="H39" s="48" t="s">
        <v>385</v>
      </c>
      <c r="I39" s="48" t="s">
        <v>18</v>
      </c>
      <c r="J39" s="48" t="s">
        <v>15</v>
      </c>
      <c r="K39" s="48" t="s">
        <v>16</v>
      </c>
      <c r="L39" s="16"/>
      <c r="M39" s="49" t="s">
        <v>459</v>
      </c>
      <c r="N39" s="16"/>
      <c r="O39" s="16"/>
      <c r="P39" s="47" t="s">
        <v>387</v>
      </c>
      <c r="Q39" s="52" t="s">
        <v>459</v>
      </c>
      <c r="R39" s="52" t="s">
        <v>465</v>
      </c>
      <c r="S39" s="47" t="s">
        <v>559</v>
      </c>
      <c r="T39" s="52" t="s">
        <v>560</v>
      </c>
      <c r="U39" s="52" t="s">
        <v>561</v>
      </c>
      <c r="V39" s="52" t="s">
        <v>475</v>
      </c>
      <c r="W39" s="52" t="s">
        <v>475</v>
      </c>
      <c r="X39" s="16" t="s">
        <v>562</v>
      </c>
      <c r="Y39" s="48" t="s">
        <v>389</v>
      </c>
      <c r="Z39" s="16"/>
      <c r="AA39" s="48" t="s">
        <v>174</v>
      </c>
      <c r="AB39" s="48" t="s">
        <v>46</v>
      </c>
      <c r="AC39" s="48" t="s">
        <v>46</v>
      </c>
      <c r="AD39" s="48" t="s">
        <v>391</v>
      </c>
      <c r="AE39" s="48" t="s">
        <v>46</v>
      </c>
      <c r="AF39" s="16"/>
      <c r="AG39" s="16" t="s">
        <v>404</v>
      </c>
      <c r="AH39" s="48" t="s">
        <v>46</v>
      </c>
      <c r="AI39" s="48" t="s">
        <v>46</v>
      </c>
      <c r="AJ39" s="48" t="s">
        <v>391</v>
      </c>
      <c r="AK39" s="48" t="s">
        <v>421</v>
      </c>
      <c r="AL39" s="48" t="s">
        <v>557</v>
      </c>
      <c r="AM39" s="16">
        <v>80.0</v>
      </c>
      <c r="AN39" s="16">
        <v>30.0</v>
      </c>
      <c r="AO39" s="16" t="s">
        <v>475</v>
      </c>
      <c r="AP39" s="53" t="s">
        <v>391</v>
      </c>
      <c r="AQ39" s="50" t="s">
        <v>391</v>
      </c>
      <c r="AR39" s="16" t="s">
        <v>217</v>
      </c>
    </row>
    <row r="40" ht="15.75" customHeight="1">
      <c r="A40" s="30" t="s">
        <v>203</v>
      </c>
      <c r="B40" s="30">
        <v>17.0</v>
      </c>
      <c r="C40" s="51" t="s">
        <v>416</v>
      </c>
      <c r="D40" s="47" t="s">
        <v>564</v>
      </c>
      <c r="E40" s="48" t="s">
        <v>564</v>
      </c>
      <c r="F40" s="48" t="s">
        <v>220</v>
      </c>
      <c r="G40" s="48" t="s">
        <v>418</v>
      </c>
      <c r="H40" s="48" t="s">
        <v>419</v>
      </c>
      <c r="I40" s="48" t="s">
        <v>18</v>
      </c>
      <c r="J40" s="48" t="s">
        <v>15</v>
      </c>
      <c r="K40" s="48" t="s">
        <v>16</v>
      </c>
      <c r="L40" s="16"/>
      <c r="M40" s="49" t="s">
        <v>433</v>
      </c>
      <c r="N40" s="16"/>
      <c r="O40" s="16"/>
      <c r="P40" s="47" t="s">
        <v>387</v>
      </c>
      <c r="Q40" s="52" t="s">
        <v>433</v>
      </c>
      <c r="R40" s="52" t="s">
        <v>565</v>
      </c>
      <c r="S40" s="47" t="s">
        <v>566</v>
      </c>
      <c r="T40" s="52" t="s">
        <v>567</v>
      </c>
      <c r="U40" s="52" t="s">
        <v>484</v>
      </c>
      <c r="V40" s="52" t="s">
        <v>459</v>
      </c>
      <c r="W40" s="52" t="s">
        <v>459</v>
      </c>
      <c r="X40" s="16" t="s">
        <v>568</v>
      </c>
      <c r="Y40" s="48" t="s">
        <v>389</v>
      </c>
      <c r="Z40" s="16"/>
      <c r="AA40" s="48" t="s">
        <v>174</v>
      </c>
      <c r="AB40" s="48" t="s">
        <v>46</v>
      </c>
      <c r="AC40" s="48" t="s">
        <v>46</v>
      </c>
      <c r="AD40" s="48" t="s">
        <v>391</v>
      </c>
      <c r="AE40" s="48" t="s">
        <v>46</v>
      </c>
      <c r="AF40" s="16"/>
      <c r="AG40" s="16"/>
      <c r="AH40" s="48" t="s">
        <v>46</v>
      </c>
      <c r="AI40" s="48" t="s">
        <v>46</v>
      </c>
      <c r="AJ40" s="48" t="s">
        <v>391</v>
      </c>
      <c r="AK40" s="48" t="s">
        <v>421</v>
      </c>
      <c r="AL40" s="48" t="s">
        <v>422</v>
      </c>
      <c r="AM40" s="16">
        <v>30.0</v>
      </c>
      <c r="AN40" s="16">
        <v>7.0</v>
      </c>
      <c r="AO40" s="16" t="s">
        <v>459</v>
      </c>
      <c r="AP40" s="48" t="str">
        <f t="shared" ref="AP40:AP80" si="3">IF($AA40="prato_principal","SIM","NÃO")</f>
        <v>NÃO</v>
      </c>
      <c r="AQ40" s="50" t="s">
        <v>391</v>
      </c>
      <c r="AR40" s="16" t="s">
        <v>220</v>
      </c>
    </row>
    <row r="41" ht="15.75" customHeight="1">
      <c r="A41" s="30" t="s">
        <v>206</v>
      </c>
      <c r="B41" s="30">
        <v>17.0</v>
      </c>
      <c r="C41" s="51" t="s">
        <v>416</v>
      </c>
      <c r="D41" s="47" t="s">
        <v>564</v>
      </c>
      <c r="E41" s="48" t="s">
        <v>564</v>
      </c>
      <c r="F41" s="48" t="s">
        <v>223</v>
      </c>
      <c r="G41" s="48" t="s">
        <v>418</v>
      </c>
      <c r="H41" s="48" t="s">
        <v>419</v>
      </c>
      <c r="I41" s="48" t="s">
        <v>18</v>
      </c>
      <c r="J41" s="48" t="s">
        <v>15</v>
      </c>
      <c r="K41" s="48" t="s">
        <v>16</v>
      </c>
      <c r="L41" s="16"/>
      <c r="M41" s="49" t="s">
        <v>433</v>
      </c>
      <c r="N41" s="16"/>
      <c r="O41" s="16"/>
      <c r="P41" s="47" t="s">
        <v>387</v>
      </c>
      <c r="Q41" s="52" t="s">
        <v>433</v>
      </c>
      <c r="R41" s="52" t="s">
        <v>565</v>
      </c>
      <c r="S41" s="47" t="s">
        <v>569</v>
      </c>
      <c r="T41" s="52" t="s">
        <v>570</v>
      </c>
      <c r="U41" s="52" t="s">
        <v>484</v>
      </c>
      <c r="V41" s="52" t="s">
        <v>472</v>
      </c>
      <c r="W41" s="52" t="s">
        <v>472</v>
      </c>
      <c r="X41" s="16" t="s">
        <v>571</v>
      </c>
      <c r="Y41" s="48" t="s">
        <v>389</v>
      </c>
      <c r="Z41" s="16"/>
      <c r="AA41" s="48" t="s">
        <v>174</v>
      </c>
      <c r="AB41" s="48" t="s">
        <v>46</v>
      </c>
      <c r="AC41" s="48" t="s">
        <v>46</v>
      </c>
      <c r="AD41" s="48" t="s">
        <v>391</v>
      </c>
      <c r="AE41" s="48" t="s">
        <v>46</v>
      </c>
      <c r="AF41" s="16"/>
      <c r="AG41" s="16"/>
      <c r="AH41" s="48" t="s">
        <v>46</v>
      </c>
      <c r="AI41" s="48" t="s">
        <v>46</v>
      </c>
      <c r="AJ41" s="48" t="s">
        <v>391</v>
      </c>
      <c r="AK41" s="48" t="s">
        <v>421</v>
      </c>
      <c r="AL41" s="48" t="s">
        <v>422</v>
      </c>
      <c r="AM41" s="16">
        <v>45.0</v>
      </c>
      <c r="AN41" s="16">
        <v>7.0</v>
      </c>
      <c r="AO41" s="16" t="s">
        <v>472</v>
      </c>
      <c r="AP41" s="48" t="str">
        <f t="shared" si="3"/>
        <v>NÃO</v>
      </c>
      <c r="AQ41" s="50" t="s">
        <v>391</v>
      </c>
      <c r="AR41" s="16" t="s">
        <v>223</v>
      </c>
    </row>
    <row r="42" ht="15.75" customHeight="1">
      <c r="A42" s="30" t="s">
        <v>209</v>
      </c>
      <c r="B42" s="30">
        <v>18.0</v>
      </c>
      <c r="C42" s="51" t="s">
        <v>427</v>
      </c>
      <c r="D42" s="30" t="s">
        <v>572</v>
      </c>
      <c r="E42" s="48" t="s">
        <v>573</v>
      </c>
      <c r="F42" s="48" t="s">
        <v>131</v>
      </c>
      <c r="G42" s="48" t="s">
        <v>418</v>
      </c>
      <c r="H42" s="48" t="s">
        <v>419</v>
      </c>
      <c r="I42" s="48" t="s">
        <v>18</v>
      </c>
      <c r="J42" s="48" t="s">
        <v>15</v>
      </c>
      <c r="K42" s="48" t="s">
        <v>16</v>
      </c>
      <c r="L42" s="16"/>
      <c r="M42" s="49" t="s">
        <v>438</v>
      </c>
      <c r="N42" s="16"/>
      <c r="O42" s="16"/>
      <c r="P42" s="47" t="s">
        <v>387</v>
      </c>
      <c r="Q42" s="49" t="s">
        <v>438</v>
      </c>
      <c r="R42" s="49" t="s">
        <v>394</v>
      </c>
      <c r="S42" s="47" t="s">
        <v>559</v>
      </c>
      <c r="T42" s="49" t="s">
        <v>574</v>
      </c>
      <c r="U42" s="49" t="s">
        <v>400</v>
      </c>
      <c r="V42" s="52" t="s">
        <v>575</v>
      </c>
      <c r="W42" s="49" t="s">
        <v>575</v>
      </c>
      <c r="X42" s="48" t="s">
        <v>576</v>
      </c>
      <c r="Y42" s="48" t="s">
        <v>389</v>
      </c>
      <c r="Z42" s="48"/>
      <c r="AA42" s="48" t="s">
        <v>14</v>
      </c>
      <c r="AB42" s="48" t="s">
        <v>46</v>
      </c>
      <c r="AC42" s="48" t="s">
        <v>46</v>
      </c>
      <c r="AD42" s="48" t="s">
        <v>391</v>
      </c>
      <c r="AE42" s="48" t="s">
        <v>46</v>
      </c>
      <c r="AF42" s="48"/>
      <c r="AG42" s="16"/>
      <c r="AH42" s="48" t="s">
        <v>46</v>
      </c>
      <c r="AI42" s="48" t="s">
        <v>46</v>
      </c>
      <c r="AJ42" s="48" t="s">
        <v>391</v>
      </c>
      <c r="AK42" s="48" t="s">
        <v>421</v>
      </c>
      <c r="AL42" s="48" t="s">
        <v>440</v>
      </c>
      <c r="AM42" s="48">
        <v>6.0</v>
      </c>
      <c r="AN42" s="48">
        <v>2.0</v>
      </c>
      <c r="AO42" s="48" t="s">
        <v>575</v>
      </c>
      <c r="AP42" s="48" t="str">
        <f t="shared" si="3"/>
        <v>NÃO</v>
      </c>
      <c r="AQ42" s="50" t="s">
        <v>391</v>
      </c>
      <c r="AR42" s="16" t="s">
        <v>131</v>
      </c>
    </row>
    <row r="43" ht="15.75" customHeight="1">
      <c r="A43" s="30" t="s">
        <v>213</v>
      </c>
      <c r="B43" s="30">
        <v>18.0</v>
      </c>
      <c r="C43" s="51" t="s">
        <v>427</v>
      </c>
      <c r="D43" s="30" t="s">
        <v>572</v>
      </c>
      <c r="E43" s="48" t="s">
        <v>573</v>
      </c>
      <c r="F43" s="48" t="s">
        <v>136</v>
      </c>
      <c r="G43" s="48" t="s">
        <v>418</v>
      </c>
      <c r="H43" s="48" t="s">
        <v>419</v>
      </c>
      <c r="I43" s="48" t="s">
        <v>18</v>
      </c>
      <c r="J43" s="48" t="s">
        <v>15</v>
      </c>
      <c r="K43" s="48" t="s">
        <v>16</v>
      </c>
      <c r="L43" s="16"/>
      <c r="M43" s="49" t="s">
        <v>577</v>
      </c>
      <c r="N43" s="16"/>
      <c r="O43" s="16"/>
      <c r="P43" s="47" t="s">
        <v>387</v>
      </c>
      <c r="Q43" s="49" t="s">
        <v>577</v>
      </c>
      <c r="R43" s="49" t="s">
        <v>578</v>
      </c>
      <c r="S43" s="47" t="s">
        <v>431</v>
      </c>
      <c r="T43" s="49" t="s">
        <v>579</v>
      </c>
      <c r="U43" s="49" t="s">
        <v>400</v>
      </c>
      <c r="V43" s="52" t="s">
        <v>429</v>
      </c>
      <c r="W43" s="49" t="s">
        <v>429</v>
      </c>
      <c r="X43" s="48" t="s">
        <v>425</v>
      </c>
      <c r="Y43" s="48" t="s">
        <v>389</v>
      </c>
      <c r="Z43" s="48"/>
      <c r="AA43" s="48" t="s">
        <v>14</v>
      </c>
      <c r="AB43" s="48" t="s">
        <v>46</v>
      </c>
      <c r="AC43" s="48" t="s">
        <v>46</v>
      </c>
      <c r="AD43" s="48" t="s">
        <v>391</v>
      </c>
      <c r="AE43" s="48" t="s">
        <v>46</v>
      </c>
      <c r="AF43" s="48"/>
      <c r="AG43" s="16"/>
      <c r="AH43" s="48" t="s">
        <v>46</v>
      </c>
      <c r="AI43" s="48" t="s">
        <v>46</v>
      </c>
      <c r="AJ43" s="48" t="s">
        <v>391</v>
      </c>
      <c r="AK43" s="48" t="s">
        <v>421</v>
      </c>
      <c r="AL43" s="48" t="s">
        <v>440</v>
      </c>
      <c r="AM43" s="48">
        <v>3.0</v>
      </c>
      <c r="AN43" s="48">
        <v>1.2</v>
      </c>
      <c r="AO43" s="48" t="s">
        <v>429</v>
      </c>
      <c r="AP43" s="48" t="str">
        <f t="shared" si="3"/>
        <v>NÃO</v>
      </c>
      <c r="AQ43" s="50" t="s">
        <v>391</v>
      </c>
      <c r="AR43" s="16" t="s">
        <v>136</v>
      </c>
    </row>
    <row r="44" ht="15.75" customHeight="1">
      <c r="A44" s="30" t="s">
        <v>216</v>
      </c>
      <c r="B44" s="30">
        <v>18.0</v>
      </c>
      <c r="C44" s="51" t="s">
        <v>427</v>
      </c>
      <c r="D44" s="30" t="s">
        <v>572</v>
      </c>
      <c r="E44" s="48" t="s">
        <v>572</v>
      </c>
      <c r="F44" s="48" t="s">
        <v>141</v>
      </c>
      <c r="G44" s="48" t="s">
        <v>444</v>
      </c>
      <c r="H44" s="48" t="s">
        <v>385</v>
      </c>
      <c r="I44" s="48" t="s">
        <v>18</v>
      </c>
      <c r="J44" s="48" t="s">
        <v>15</v>
      </c>
      <c r="K44" s="48" t="s">
        <v>16</v>
      </c>
      <c r="L44" s="16"/>
      <c r="M44" s="49" t="s">
        <v>438</v>
      </c>
      <c r="N44" s="16"/>
      <c r="O44" s="16"/>
      <c r="P44" s="47" t="s">
        <v>387</v>
      </c>
      <c r="Q44" s="49" t="s">
        <v>438</v>
      </c>
      <c r="R44" s="49" t="s">
        <v>394</v>
      </c>
      <c r="S44" s="47" t="s">
        <v>431</v>
      </c>
      <c r="T44" s="49" t="s">
        <v>439</v>
      </c>
      <c r="U44" s="49" t="s">
        <v>400</v>
      </c>
      <c r="V44" s="49" t="s">
        <v>426</v>
      </c>
      <c r="W44" s="49" t="s">
        <v>426</v>
      </c>
      <c r="X44" s="48" t="s">
        <v>425</v>
      </c>
      <c r="Y44" s="48" t="s">
        <v>389</v>
      </c>
      <c r="Z44" s="16"/>
      <c r="AA44" s="48" t="s">
        <v>14</v>
      </c>
      <c r="AB44" s="48" t="s">
        <v>46</v>
      </c>
      <c r="AC44" s="48" t="s">
        <v>46</v>
      </c>
      <c r="AD44" s="48" t="s">
        <v>391</v>
      </c>
      <c r="AE44" s="48" t="s">
        <v>46</v>
      </c>
      <c r="AF44" s="16"/>
      <c r="AG44" s="16"/>
      <c r="AH44" s="48" t="s">
        <v>46</v>
      </c>
      <c r="AI44" s="48" t="s">
        <v>46</v>
      </c>
      <c r="AJ44" s="48" t="s">
        <v>391</v>
      </c>
      <c r="AK44" s="48" t="s">
        <v>421</v>
      </c>
      <c r="AL44" s="48" t="s">
        <v>440</v>
      </c>
      <c r="AM44" s="48">
        <v>5.0</v>
      </c>
      <c r="AN44" s="48">
        <v>2.0</v>
      </c>
      <c r="AO44" s="48" t="s">
        <v>426</v>
      </c>
      <c r="AP44" s="48" t="str">
        <f t="shared" si="3"/>
        <v>NÃO</v>
      </c>
      <c r="AQ44" s="50" t="s">
        <v>391</v>
      </c>
      <c r="AR44" s="16" t="s">
        <v>141</v>
      </c>
    </row>
    <row r="45" ht="15.75" customHeight="1">
      <c r="A45" s="30" t="s">
        <v>580</v>
      </c>
      <c r="B45" s="30">
        <v>18.0</v>
      </c>
      <c r="C45" s="51" t="s">
        <v>427</v>
      </c>
      <c r="D45" s="30" t="s">
        <v>572</v>
      </c>
      <c r="E45" s="48" t="s">
        <v>572</v>
      </c>
      <c r="F45" s="48" t="s">
        <v>146</v>
      </c>
      <c r="G45" s="48" t="s">
        <v>455</v>
      </c>
      <c r="H45" s="48" t="s">
        <v>385</v>
      </c>
      <c r="I45" s="48" t="s">
        <v>18</v>
      </c>
      <c r="J45" s="48" t="s">
        <v>15</v>
      </c>
      <c r="K45" s="48" t="s">
        <v>16</v>
      </c>
      <c r="L45" s="16"/>
      <c r="M45" s="49" t="s">
        <v>429</v>
      </c>
      <c r="N45" s="16"/>
      <c r="O45" s="16"/>
      <c r="P45" s="47" t="s">
        <v>387</v>
      </c>
      <c r="Q45" s="49" t="s">
        <v>429</v>
      </c>
      <c r="R45" s="49" t="s">
        <v>430</v>
      </c>
      <c r="S45" s="47" t="s">
        <v>431</v>
      </c>
      <c r="T45" s="49" t="s">
        <v>432</v>
      </c>
      <c r="U45" s="49" t="s">
        <v>400</v>
      </c>
      <c r="V45" s="49" t="s">
        <v>400</v>
      </c>
      <c r="W45" s="49" t="s">
        <v>400</v>
      </c>
      <c r="X45" s="48" t="s">
        <v>581</v>
      </c>
      <c r="Y45" s="48" t="s">
        <v>389</v>
      </c>
      <c r="Z45" s="16"/>
      <c r="AA45" s="48" t="s">
        <v>14</v>
      </c>
      <c r="AB45" s="48" t="s">
        <v>46</v>
      </c>
      <c r="AC45" s="48" t="s">
        <v>46</v>
      </c>
      <c r="AD45" s="48" t="s">
        <v>391</v>
      </c>
      <c r="AE45" s="48" t="s">
        <v>46</v>
      </c>
      <c r="AF45" s="16"/>
      <c r="AG45" s="16"/>
      <c r="AH45" s="48" t="s">
        <v>46</v>
      </c>
      <c r="AI45" s="48" t="s">
        <v>46</v>
      </c>
      <c r="AJ45" s="48" t="s">
        <v>391</v>
      </c>
      <c r="AK45" s="48" t="s">
        <v>421</v>
      </c>
      <c r="AL45" s="48" t="s">
        <v>440</v>
      </c>
      <c r="AM45" s="48">
        <v>10.0</v>
      </c>
      <c r="AN45" s="48">
        <v>3.0</v>
      </c>
      <c r="AO45" s="48" t="s">
        <v>400</v>
      </c>
      <c r="AP45" s="48" t="str">
        <f t="shared" si="3"/>
        <v>NÃO</v>
      </c>
      <c r="AQ45" s="50" t="s">
        <v>391</v>
      </c>
      <c r="AR45" s="16" t="s">
        <v>146</v>
      </c>
    </row>
    <row r="46" ht="15.75" customHeight="1">
      <c r="A46" s="30" t="s">
        <v>219</v>
      </c>
      <c r="B46" s="30">
        <v>19.0</v>
      </c>
      <c r="C46" s="30" t="s">
        <v>582</v>
      </c>
      <c r="D46" s="51" t="s">
        <v>150</v>
      </c>
      <c r="E46" s="48" t="s">
        <v>583</v>
      </c>
      <c r="F46" s="48" t="s">
        <v>171</v>
      </c>
      <c r="G46" s="48" t="s">
        <v>418</v>
      </c>
      <c r="H46" s="48" t="s">
        <v>385</v>
      </c>
      <c r="I46" s="48" t="s">
        <v>18</v>
      </c>
      <c r="J46" s="48" t="s">
        <v>15</v>
      </c>
      <c r="K46" s="48" t="s">
        <v>16</v>
      </c>
      <c r="L46" s="16"/>
      <c r="M46" s="49" t="s">
        <v>498</v>
      </c>
      <c r="N46" s="16"/>
      <c r="O46" s="16"/>
      <c r="P46" s="47" t="s">
        <v>387</v>
      </c>
      <c r="Q46" s="49" t="s">
        <v>498</v>
      </c>
      <c r="R46" s="49" t="s">
        <v>499</v>
      </c>
      <c r="S46" s="47" t="s">
        <v>538</v>
      </c>
      <c r="T46" s="49" t="s">
        <v>584</v>
      </c>
      <c r="U46" s="49" t="s">
        <v>585</v>
      </c>
      <c r="V46" s="52">
        <v>110.0</v>
      </c>
      <c r="W46" s="49" t="s">
        <v>585</v>
      </c>
      <c r="X46" s="48" t="s">
        <v>586</v>
      </c>
      <c r="Y46" s="48" t="s">
        <v>389</v>
      </c>
      <c r="Z46" s="16"/>
      <c r="AA46" s="48" t="s">
        <v>14</v>
      </c>
      <c r="AB46" s="48" t="s">
        <v>46</v>
      </c>
      <c r="AC46" s="48" t="s">
        <v>46</v>
      </c>
      <c r="AD46" s="48" t="s">
        <v>391</v>
      </c>
      <c r="AE46" s="48" t="s">
        <v>46</v>
      </c>
      <c r="AF46" s="16"/>
      <c r="AG46" s="16"/>
      <c r="AH46" s="48" t="s">
        <v>46</v>
      </c>
      <c r="AI46" s="48" t="s">
        <v>46</v>
      </c>
      <c r="AJ46" s="48" t="s">
        <v>391</v>
      </c>
      <c r="AK46" s="48" t="s">
        <v>421</v>
      </c>
      <c r="AL46" s="48" t="s">
        <v>440</v>
      </c>
      <c r="AM46" s="48">
        <v>110.0</v>
      </c>
      <c r="AN46" s="48">
        <v>32.0</v>
      </c>
      <c r="AO46" s="48" t="s">
        <v>585</v>
      </c>
      <c r="AP46" s="48" t="str">
        <f t="shared" si="3"/>
        <v>NÃO</v>
      </c>
      <c r="AQ46" s="50" t="s">
        <v>395</v>
      </c>
      <c r="AR46" s="16" t="s">
        <v>171</v>
      </c>
    </row>
    <row r="47" ht="15.75" customHeight="1">
      <c r="A47" s="30" t="s">
        <v>222</v>
      </c>
      <c r="B47" s="30">
        <v>20.0</v>
      </c>
      <c r="C47" s="30" t="s">
        <v>582</v>
      </c>
      <c r="D47" s="51" t="s">
        <v>150</v>
      </c>
      <c r="E47" s="48" t="s">
        <v>587</v>
      </c>
      <c r="F47" s="48" t="s">
        <v>175</v>
      </c>
      <c r="G47" s="48" t="s">
        <v>418</v>
      </c>
      <c r="H47" s="48" t="s">
        <v>437</v>
      </c>
      <c r="I47" s="48" t="s">
        <v>18</v>
      </c>
      <c r="J47" s="48" t="s">
        <v>15</v>
      </c>
      <c r="K47" s="48" t="s">
        <v>16</v>
      </c>
      <c r="L47" s="16"/>
      <c r="M47" s="49"/>
      <c r="N47" s="16"/>
      <c r="O47" s="16"/>
      <c r="P47" s="47" t="s">
        <v>387</v>
      </c>
      <c r="Q47" s="49"/>
      <c r="R47" s="49"/>
      <c r="S47" s="47" t="s">
        <v>538</v>
      </c>
      <c r="T47" s="49"/>
      <c r="U47" s="49"/>
      <c r="V47" s="49"/>
      <c r="W47" s="49"/>
      <c r="X47" s="48"/>
      <c r="Y47" s="48" t="s">
        <v>389</v>
      </c>
      <c r="Z47" s="16"/>
      <c r="AA47" s="48" t="s">
        <v>174</v>
      </c>
      <c r="AB47" s="48" t="s">
        <v>46</v>
      </c>
      <c r="AC47" s="48" t="s">
        <v>46</v>
      </c>
      <c r="AD47" s="48" t="s">
        <v>391</v>
      </c>
      <c r="AE47" s="48" t="s">
        <v>46</v>
      </c>
      <c r="AF47" s="48"/>
      <c r="AG47" s="48"/>
      <c r="AH47" s="48" t="s">
        <v>46</v>
      </c>
      <c r="AI47" s="48" t="s">
        <v>46</v>
      </c>
      <c r="AJ47" s="48" t="s">
        <v>391</v>
      </c>
      <c r="AK47" s="48" t="s">
        <v>421</v>
      </c>
      <c r="AL47" s="48" t="s">
        <v>422</v>
      </c>
      <c r="AM47" s="48"/>
      <c r="AN47" s="48"/>
      <c r="AO47" s="48"/>
      <c r="AP47" s="48" t="str">
        <f t="shared" si="3"/>
        <v>NÃO</v>
      </c>
      <c r="AQ47" s="50" t="s">
        <v>395</v>
      </c>
      <c r="AR47" s="16" t="s">
        <v>175</v>
      </c>
    </row>
    <row r="48" ht="15.75" customHeight="1">
      <c r="A48" s="30" t="s">
        <v>225</v>
      </c>
      <c r="B48" s="30">
        <v>21.0</v>
      </c>
      <c r="C48" s="30" t="s">
        <v>582</v>
      </c>
      <c r="D48" s="51" t="s">
        <v>150</v>
      </c>
      <c r="E48" s="48" t="s">
        <v>587</v>
      </c>
      <c r="F48" s="48" t="s">
        <v>178</v>
      </c>
      <c r="G48" s="48" t="s">
        <v>418</v>
      </c>
      <c r="H48" s="48" t="s">
        <v>437</v>
      </c>
      <c r="I48" s="48" t="s">
        <v>18</v>
      </c>
      <c r="J48" s="48" t="s">
        <v>15</v>
      </c>
      <c r="K48" s="48" t="s">
        <v>16</v>
      </c>
      <c r="L48" s="16"/>
      <c r="M48" s="49"/>
      <c r="N48" s="16"/>
      <c r="O48" s="16"/>
      <c r="P48" s="47" t="s">
        <v>387</v>
      </c>
      <c r="Q48" s="49"/>
      <c r="R48" s="49"/>
      <c r="S48" s="47" t="s">
        <v>538</v>
      </c>
      <c r="T48" s="49"/>
      <c r="U48" s="49"/>
      <c r="V48" s="49"/>
      <c r="W48" s="49"/>
      <c r="X48" s="48"/>
      <c r="Y48" s="48" t="s">
        <v>389</v>
      </c>
      <c r="Z48" s="16"/>
      <c r="AA48" s="48" t="s">
        <v>174</v>
      </c>
      <c r="AB48" s="48" t="s">
        <v>46</v>
      </c>
      <c r="AC48" s="48" t="s">
        <v>46</v>
      </c>
      <c r="AD48" s="48" t="s">
        <v>391</v>
      </c>
      <c r="AE48" s="48" t="s">
        <v>46</v>
      </c>
      <c r="AF48" s="48"/>
      <c r="AG48" s="48"/>
      <c r="AH48" s="48" t="s">
        <v>46</v>
      </c>
      <c r="AI48" s="48" t="s">
        <v>46</v>
      </c>
      <c r="AJ48" s="48" t="s">
        <v>391</v>
      </c>
      <c r="AK48" s="48" t="s">
        <v>421</v>
      </c>
      <c r="AL48" s="48" t="s">
        <v>422</v>
      </c>
      <c r="AM48" s="48"/>
      <c r="AN48" s="48"/>
      <c r="AO48" s="48"/>
      <c r="AP48" s="48" t="str">
        <f t="shared" si="3"/>
        <v>NÃO</v>
      </c>
      <c r="AQ48" s="50" t="s">
        <v>395</v>
      </c>
      <c r="AR48" s="16" t="s">
        <v>178</v>
      </c>
    </row>
    <row r="49" ht="15.75" customHeight="1">
      <c r="A49" s="30" t="s">
        <v>230</v>
      </c>
      <c r="B49" s="30">
        <v>22.0</v>
      </c>
      <c r="C49" s="30" t="s">
        <v>582</v>
      </c>
      <c r="D49" s="51" t="s">
        <v>150</v>
      </c>
      <c r="E49" s="48" t="s">
        <v>587</v>
      </c>
      <c r="F49" s="48" t="s">
        <v>181</v>
      </c>
      <c r="G49" s="48" t="s">
        <v>418</v>
      </c>
      <c r="H49" s="48" t="s">
        <v>437</v>
      </c>
      <c r="I49" s="48" t="s">
        <v>18</v>
      </c>
      <c r="J49" s="48" t="s">
        <v>15</v>
      </c>
      <c r="K49" s="48" t="s">
        <v>16</v>
      </c>
      <c r="L49" s="16"/>
      <c r="M49" s="49"/>
      <c r="N49" s="16"/>
      <c r="O49" s="16"/>
      <c r="P49" s="47" t="s">
        <v>387</v>
      </c>
      <c r="Q49" s="49"/>
      <c r="R49" s="49"/>
      <c r="S49" s="47" t="s">
        <v>538</v>
      </c>
      <c r="T49" s="49"/>
      <c r="U49" s="49"/>
      <c r="V49" s="49"/>
      <c r="W49" s="49"/>
      <c r="X49" s="48"/>
      <c r="Y49" s="48" t="s">
        <v>389</v>
      </c>
      <c r="Z49" s="16"/>
      <c r="AA49" s="48" t="s">
        <v>174</v>
      </c>
      <c r="AB49" s="48" t="s">
        <v>46</v>
      </c>
      <c r="AC49" s="48" t="s">
        <v>46</v>
      </c>
      <c r="AD49" s="48" t="s">
        <v>391</v>
      </c>
      <c r="AE49" s="48" t="s">
        <v>46</v>
      </c>
      <c r="AF49" s="48"/>
      <c r="AG49" s="48"/>
      <c r="AH49" s="48" t="s">
        <v>46</v>
      </c>
      <c r="AI49" s="48" t="s">
        <v>46</v>
      </c>
      <c r="AJ49" s="48" t="s">
        <v>391</v>
      </c>
      <c r="AK49" s="48" t="s">
        <v>421</v>
      </c>
      <c r="AL49" s="48" t="s">
        <v>422</v>
      </c>
      <c r="AM49" s="48"/>
      <c r="AN49" s="48"/>
      <c r="AO49" s="48"/>
      <c r="AP49" s="48" t="str">
        <f t="shared" si="3"/>
        <v>NÃO</v>
      </c>
      <c r="AQ49" s="50" t="s">
        <v>395</v>
      </c>
      <c r="AR49" s="16" t="s">
        <v>181</v>
      </c>
    </row>
    <row r="50" ht="15.75" customHeight="1">
      <c r="A50" s="30" t="s">
        <v>233</v>
      </c>
      <c r="B50" s="30">
        <v>23.0</v>
      </c>
      <c r="C50" s="30" t="s">
        <v>582</v>
      </c>
      <c r="D50" s="51" t="s">
        <v>150</v>
      </c>
      <c r="E50" s="48" t="s">
        <v>587</v>
      </c>
      <c r="F50" s="48" t="s">
        <v>184</v>
      </c>
      <c r="G50" s="48" t="s">
        <v>418</v>
      </c>
      <c r="H50" s="48" t="s">
        <v>437</v>
      </c>
      <c r="I50" s="48" t="s">
        <v>18</v>
      </c>
      <c r="J50" s="48" t="s">
        <v>15</v>
      </c>
      <c r="K50" s="48" t="s">
        <v>16</v>
      </c>
      <c r="L50" s="16"/>
      <c r="M50" s="49"/>
      <c r="N50" s="16"/>
      <c r="O50" s="16"/>
      <c r="P50" s="47" t="s">
        <v>387</v>
      </c>
      <c r="Q50" s="49"/>
      <c r="R50" s="49"/>
      <c r="S50" s="47" t="s">
        <v>538</v>
      </c>
      <c r="T50" s="49"/>
      <c r="U50" s="49"/>
      <c r="V50" s="49"/>
      <c r="W50" s="49"/>
      <c r="X50" s="48"/>
      <c r="Y50" s="48" t="s">
        <v>389</v>
      </c>
      <c r="Z50" s="16"/>
      <c r="AA50" s="48" t="s">
        <v>174</v>
      </c>
      <c r="AB50" s="48" t="s">
        <v>46</v>
      </c>
      <c r="AC50" s="48" t="s">
        <v>46</v>
      </c>
      <c r="AD50" s="48" t="s">
        <v>391</v>
      </c>
      <c r="AE50" s="48" t="s">
        <v>46</v>
      </c>
      <c r="AF50" s="16"/>
      <c r="AG50" s="16"/>
      <c r="AH50" s="48" t="s">
        <v>46</v>
      </c>
      <c r="AI50" s="48" t="s">
        <v>46</v>
      </c>
      <c r="AJ50" s="48" t="s">
        <v>391</v>
      </c>
      <c r="AK50" s="48" t="s">
        <v>421</v>
      </c>
      <c r="AL50" s="48" t="s">
        <v>422</v>
      </c>
      <c r="AM50" s="48"/>
      <c r="AN50" s="48"/>
      <c r="AO50" s="48"/>
      <c r="AP50" s="48" t="str">
        <f t="shared" si="3"/>
        <v>NÃO</v>
      </c>
      <c r="AQ50" s="50" t="s">
        <v>395</v>
      </c>
      <c r="AR50" s="16" t="s">
        <v>184</v>
      </c>
    </row>
    <row r="51" ht="15.75" customHeight="1">
      <c r="A51" s="30" t="s">
        <v>236</v>
      </c>
      <c r="B51" s="30">
        <v>24.0</v>
      </c>
      <c r="C51" s="51" t="s">
        <v>411</v>
      </c>
      <c r="D51" s="47" t="s">
        <v>588</v>
      </c>
      <c r="E51" s="48" t="s">
        <v>588</v>
      </c>
      <c r="F51" s="48" t="s">
        <v>228</v>
      </c>
      <c r="G51" s="48" t="s">
        <v>384</v>
      </c>
      <c r="H51" s="48" t="s">
        <v>385</v>
      </c>
      <c r="I51" s="48" t="s">
        <v>18</v>
      </c>
      <c r="J51" s="48" t="s">
        <v>15</v>
      </c>
      <c r="K51" s="48" t="s">
        <v>16</v>
      </c>
      <c r="L51" s="16"/>
      <c r="M51" s="49" t="s">
        <v>546</v>
      </c>
      <c r="N51" s="16"/>
      <c r="O51" s="16"/>
      <c r="P51" s="47" t="s">
        <v>387</v>
      </c>
      <c r="Q51" s="49" t="s">
        <v>546</v>
      </c>
      <c r="R51" s="49" t="s">
        <v>589</v>
      </c>
      <c r="S51" s="47" t="s">
        <v>559</v>
      </c>
      <c r="T51" s="49" t="s">
        <v>465</v>
      </c>
      <c r="U51" s="49" t="s">
        <v>484</v>
      </c>
      <c r="V51" s="49" t="s">
        <v>485</v>
      </c>
      <c r="W51" s="49" t="s">
        <v>485</v>
      </c>
      <c r="X51" s="48" t="s">
        <v>590</v>
      </c>
      <c r="Y51" s="48" t="s">
        <v>389</v>
      </c>
      <c r="Z51" s="48" t="s">
        <v>591</v>
      </c>
      <c r="AA51" s="48" t="s">
        <v>227</v>
      </c>
      <c r="AB51" s="48" t="s">
        <v>46</v>
      </c>
      <c r="AC51" s="48" t="s">
        <v>46</v>
      </c>
      <c r="AD51" s="48" t="s">
        <v>391</v>
      </c>
      <c r="AE51" s="48" t="s">
        <v>46</v>
      </c>
      <c r="AF51" s="16"/>
      <c r="AG51" s="48" t="s">
        <v>404</v>
      </c>
      <c r="AH51" s="48" t="s">
        <v>46</v>
      </c>
      <c r="AI51" s="48" t="s">
        <v>46</v>
      </c>
      <c r="AJ51" s="48" t="s">
        <v>391</v>
      </c>
      <c r="AK51" s="48" t="s">
        <v>421</v>
      </c>
      <c r="AL51" s="48" t="s">
        <v>592</v>
      </c>
      <c r="AM51" s="48">
        <v>35.0</v>
      </c>
      <c r="AN51" s="48">
        <v>12.0</v>
      </c>
      <c r="AO51" s="48" t="s">
        <v>485</v>
      </c>
      <c r="AP51" s="48" t="str">
        <f t="shared" si="3"/>
        <v>NÃO</v>
      </c>
      <c r="AQ51" s="50" t="s">
        <v>391</v>
      </c>
      <c r="AR51" s="16" t="s">
        <v>228</v>
      </c>
    </row>
    <row r="52" ht="15.75" customHeight="1">
      <c r="A52" s="30" t="s">
        <v>242</v>
      </c>
      <c r="B52" s="30">
        <v>25.0</v>
      </c>
      <c r="C52" s="51" t="s">
        <v>411</v>
      </c>
      <c r="D52" s="47" t="s">
        <v>593</v>
      </c>
      <c r="E52" s="48" t="s">
        <v>593</v>
      </c>
      <c r="F52" s="48" t="s">
        <v>231</v>
      </c>
      <c r="G52" s="48" t="s">
        <v>444</v>
      </c>
      <c r="H52" s="48" t="s">
        <v>385</v>
      </c>
      <c r="I52" s="48" t="s">
        <v>18</v>
      </c>
      <c r="J52" s="48" t="s">
        <v>15</v>
      </c>
      <c r="K52" s="48" t="s">
        <v>16</v>
      </c>
      <c r="L52" s="16"/>
      <c r="M52" s="49" t="s">
        <v>456</v>
      </c>
      <c r="N52" s="16"/>
      <c r="O52" s="16"/>
      <c r="P52" s="47" t="s">
        <v>387</v>
      </c>
      <c r="Q52" s="49" t="s">
        <v>456</v>
      </c>
      <c r="R52" s="49" t="s">
        <v>457</v>
      </c>
      <c r="S52" s="47" t="s">
        <v>538</v>
      </c>
      <c r="T52" s="49" t="s">
        <v>473</v>
      </c>
      <c r="U52" s="49" t="s">
        <v>477</v>
      </c>
      <c r="V52" s="49" t="s">
        <v>477</v>
      </c>
      <c r="W52" s="49" t="s">
        <v>477</v>
      </c>
      <c r="X52" s="48" t="s">
        <v>581</v>
      </c>
      <c r="Y52" s="48" t="s">
        <v>389</v>
      </c>
      <c r="Z52" s="48" t="s">
        <v>594</v>
      </c>
      <c r="AA52" s="48" t="s">
        <v>227</v>
      </c>
      <c r="AB52" s="48" t="s">
        <v>46</v>
      </c>
      <c r="AC52" s="48" t="s">
        <v>46</v>
      </c>
      <c r="AD52" s="48" t="s">
        <v>391</v>
      </c>
      <c r="AE52" s="48" t="s">
        <v>46</v>
      </c>
      <c r="AF52" s="16"/>
      <c r="AG52" s="48" t="s">
        <v>404</v>
      </c>
      <c r="AH52" s="48" t="s">
        <v>46</v>
      </c>
      <c r="AI52" s="48" t="s">
        <v>46</v>
      </c>
      <c r="AJ52" s="48" t="s">
        <v>391</v>
      </c>
      <c r="AK52" s="48" t="s">
        <v>421</v>
      </c>
      <c r="AL52" s="48" t="s">
        <v>592</v>
      </c>
      <c r="AM52" s="48">
        <v>50.0</v>
      </c>
      <c r="AN52" s="48">
        <v>15.0</v>
      </c>
      <c r="AO52" s="48" t="s">
        <v>477</v>
      </c>
      <c r="AP52" s="48" t="str">
        <f t="shared" si="3"/>
        <v>NÃO</v>
      </c>
      <c r="AQ52" s="50" t="s">
        <v>391</v>
      </c>
      <c r="AR52" s="16" t="s">
        <v>231</v>
      </c>
    </row>
    <row r="53" ht="15.75" customHeight="1">
      <c r="A53" s="30" t="s">
        <v>595</v>
      </c>
      <c r="B53" s="30">
        <v>26.0</v>
      </c>
      <c r="C53" s="51" t="s">
        <v>411</v>
      </c>
      <c r="D53" s="47" t="s">
        <v>596</v>
      </c>
      <c r="E53" s="48" t="s">
        <v>596</v>
      </c>
      <c r="F53" s="48" t="s">
        <v>234</v>
      </c>
      <c r="G53" s="48" t="s">
        <v>455</v>
      </c>
      <c r="H53" s="48" t="s">
        <v>385</v>
      </c>
      <c r="I53" s="48" t="s">
        <v>18</v>
      </c>
      <c r="J53" s="48" t="s">
        <v>15</v>
      </c>
      <c r="K53" s="48" t="s">
        <v>16</v>
      </c>
      <c r="L53" s="16"/>
      <c r="M53" s="49" t="s">
        <v>484</v>
      </c>
      <c r="N53" s="16"/>
      <c r="O53" s="16"/>
      <c r="P53" s="47" t="s">
        <v>597</v>
      </c>
      <c r="Q53" s="49" t="s">
        <v>484</v>
      </c>
      <c r="R53" s="49" t="s">
        <v>598</v>
      </c>
      <c r="S53" s="47" t="s">
        <v>538</v>
      </c>
      <c r="T53" s="49" t="s">
        <v>599</v>
      </c>
      <c r="U53" s="49" t="s">
        <v>600</v>
      </c>
      <c r="V53" s="49" t="s">
        <v>585</v>
      </c>
      <c r="W53" s="49" t="s">
        <v>585</v>
      </c>
      <c r="X53" s="48" t="s">
        <v>601</v>
      </c>
      <c r="Y53" s="48" t="s">
        <v>389</v>
      </c>
      <c r="Z53" s="48" t="s">
        <v>602</v>
      </c>
      <c r="AA53" s="48" t="s">
        <v>227</v>
      </c>
      <c r="AB53" s="48" t="s">
        <v>46</v>
      </c>
      <c r="AC53" s="48" t="s">
        <v>46</v>
      </c>
      <c r="AD53" s="48" t="s">
        <v>391</v>
      </c>
      <c r="AE53" s="48" t="s">
        <v>46</v>
      </c>
      <c r="AF53" s="16"/>
      <c r="AG53" s="48" t="s">
        <v>404</v>
      </c>
      <c r="AH53" s="48" t="s">
        <v>46</v>
      </c>
      <c r="AI53" s="48" t="s">
        <v>46</v>
      </c>
      <c r="AJ53" s="48" t="s">
        <v>391</v>
      </c>
      <c r="AK53" s="48" t="s">
        <v>421</v>
      </c>
      <c r="AL53" s="48" t="s">
        <v>592</v>
      </c>
      <c r="AM53" s="48">
        <v>110.0</v>
      </c>
      <c r="AN53" s="48">
        <v>40.0</v>
      </c>
      <c r="AO53" s="48" t="s">
        <v>585</v>
      </c>
      <c r="AP53" s="48" t="str">
        <f t="shared" si="3"/>
        <v>NÃO</v>
      </c>
      <c r="AQ53" s="50" t="s">
        <v>391</v>
      </c>
      <c r="AR53" s="16" t="s">
        <v>234</v>
      </c>
    </row>
    <row r="54" ht="15.75" customHeight="1">
      <c r="A54" s="30" t="s">
        <v>603</v>
      </c>
      <c r="B54" s="30">
        <v>27.0</v>
      </c>
      <c r="C54" s="51" t="s">
        <v>411</v>
      </c>
      <c r="D54" s="47" t="s">
        <v>604</v>
      </c>
      <c r="E54" s="48" t="s">
        <v>604</v>
      </c>
      <c r="F54" s="48" t="s">
        <v>240</v>
      </c>
      <c r="G54" s="48" t="s">
        <v>418</v>
      </c>
      <c r="H54" s="48" t="s">
        <v>464</v>
      </c>
      <c r="I54" s="48" t="s">
        <v>18</v>
      </c>
      <c r="J54" s="48" t="s">
        <v>238</v>
      </c>
      <c r="K54" s="48" t="s">
        <v>239</v>
      </c>
      <c r="L54" s="16"/>
      <c r="M54" s="54">
        <v>500.0</v>
      </c>
      <c r="N54" s="16"/>
      <c r="O54" s="16"/>
      <c r="P54" s="47" t="s">
        <v>514</v>
      </c>
      <c r="Q54" s="54">
        <v>500.0</v>
      </c>
      <c r="R54" s="49" t="s">
        <v>605</v>
      </c>
      <c r="S54" s="47" t="s">
        <v>606</v>
      </c>
      <c r="T54" s="49" t="s">
        <v>607</v>
      </c>
      <c r="U54" s="49" t="s">
        <v>608</v>
      </c>
      <c r="V54" s="49" t="s">
        <v>608</v>
      </c>
      <c r="W54" s="54">
        <v>1190.0</v>
      </c>
      <c r="X54" s="48" t="s">
        <v>609</v>
      </c>
      <c r="Y54" s="48" t="s">
        <v>389</v>
      </c>
      <c r="Z54" s="16"/>
      <c r="AA54" s="48" t="s">
        <v>237</v>
      </c>
      <c r="AB54" s="48" t="s">
        <v>46</v>
      </c>
      <c r="AC54" s="48" t="s">
        <v>46</v>
      </c>
      <c r="AD54" s="48" t="s">
        <v>391</v>
      </c>
      <c r="AE54" s="48" t="s">
        <v>46</v>
      </c>
      <c r="AF54" s="16"/>
      <c r="AG54" s="16"/>
      <c r="AH54" s="48" t="s">
        <v>46</v>
      </c>
      <c r="AI54" s="48" t="s">
        <v>46</v>
      </c>
      <c r="AJ54" s="48" t="s">
        <v>391</v>
      </c>
      <c r="AK54" s="48" t="s">
        <v>421</v>
      </c>
      <c r="AL54" s="48" t="s">
        <v>610</v>
      </c>
      <c r="AM54" s="48">
        <v>1190.0</v>
      </c>
      <c r="AN54" s="48">
        <v>460.0</v>
      </c>
      <c r="AO54" s="48" t="s">
        <v>608</v>
      </c>
      <c r="AP54" s="48" t="str">
        <f t="shared" si="3"/>
        <v>NÃO</v>
      </c>
      <c r="AQ54" s="50" t="s">
        <v>391</v>
      </c>
      <c r="AR54" s="16" t="s">
        <v>240</v>
      </c>
    </row>
    <row r="55" ht="15.75" customHeight="1">
      <c r="A55" s="30" t="s">
        <v>247</v>
      </c>
      <c r="B55" s="30">
        <v>27.0</v>
      </c>
      <c r="C55" s="51" t="s">
        <v>411</v>
      </c>
      <c r="D55" s="47" t="s">
        <v>604</v>
      </c>
      <c r="E55" s="48" t="s">
        <v>604</v>
      </c>
      <c r="F55" s="53" t="s">
        <v>611</v>
      </c>
      <c r="G55" s="48" t="s">
        <v>418</v>
      </c>
      <c r="H55" s="48" t="s">
        <v>464</v>
      </c>
      <c r="I55" s="48" t="s">
        <v>18</v>
      </c>
      <c r="J55" s="48" t="s">
        <v>238</v>
      </c>
      <c r="K55" s="48" t="s">
        <v>239</v>
      </c>
      <c r="L55" s="16"/>
      <c r="M55" s="54">
        <v>1000.0</v>
      </c>
      <c r="N55" s="16"/>
      <c r="O55" s="16"/>
      <c r="P55" s="47" t="s">
        <v>514</v>
      </c>
      <c r="Q55" s="54">
        <v>1000.0</v>
      </c>
      <c r="R55" s="49" t="s">
        <v>605</v>
      </c>
      <c r="S55" s="47" t="s">
        <v>606</v>
      </c>
      <c r="T55" s="54">
        <v>1900.0</v>
      </c>
      <c r="U55" s="54">
        <v>1900.0</v>
      </c>
      <c r="V55" s="54">
        <v>1900.0</v>
      </c>
      <c r="W55" s="54">
        <v>1900.0</v>
      </c>
      <c r="X55" s="48" t="s">
        <v>609</v>
      </c>
      <c r="Y55" s="48" t="s">
        <v>389</v>
      </c>
      <c r="Z55" s="16"/>
      <c r="AA55" s="48" t="s">
        <v>237</v>
      </c>
      <c r="AB55" s="48" t="s">
        <v>46</v>
      </c>
      <c r="AC55" s="48" t="s">
        <v>46</v>
      </c>
      <c r="AD55" s="48" t="s">
        <v>391</v>
      </c>
      <c r="AE55" s="48" t="s">
        <v>46</v>
      </c>
      <c r="AF55" s="16"/>
      <c r="AG55" s="16"/>
      <c r="AH55" s="48" t="s">
        <v>46</v>
      </c>
      <c r="AI55" s="48" t="s">
        <v>46</v>
      </c>
      <c r="AJ55" s="48" t="s">
        <v>391</v>
      </c>
      <c r="AK55" s="48" t="s">
        <v>421</v>
      </c>
      <c r="AL55" s="48" t="s">
        <v>610</v>
      </c>
      <c r="AM55" s="48">
        <v>1190.0</v>
      </c>
      <c r="AN55" s="48">
        <v>460.0</v>
      </c>
      <c r="AO55" s="48" t="s">
        <v>608</v>
      </c>
      <c r="AP55" s="48" t="str">
        <f t="shared" si="3"/>
        <v>NÃO</v>
      </c>
      <c r="AQ55" s="50" t="s">
        <v>391</v>
      </c>
      <c r="AR55" s="55" t="s">
        <v>611</v>
      </c>
    </row>
    <row r="56" ht="15.75" customHeight="1">
      <c r="A56" s="30" t="s">
        <v>253</v>
      </c>
      <c r="B56" s="30">
        <v>27.0</v>
      </c>
      <c r="C56" s="51" t="s">
        <v>411</v>
      </c>
      <c r="D56" s="47" t="s">
        <v>604</v>
      </c>
      <c r="E56" s="48" t="s">
        <v>604</v>
      </c>
      <c r="F56" s="53" t="s">
        <v>612</v>
      </c>
      <c r="G56" s="48" t="s">
        <v>418</v>
      </c>
      <c r="H56" s="48" t="s">
        <v>464</v>
      </c>
      <c r="I56" s="48" t="s">
        <v>18</v>
      </c>
      <c r="J56" s="48" t="s">
        <v>238</v>
      </c>
      <c r="K56" s="48" t="s">
        <v>239</v>
      </c>
      <c r="L56" s="16"/>
      <c r="M56" s="54">
        <v>1500.0</v>
      </c>
      <c r="N56" s="16"/>
      <c r="O56" s="16"/>
      <c r="P56" s="47" t="s">
        <v>514</v>
      </c>
      <c r="Q56" s="54">
        <v>1500.0</v>
      </c>
      <c r="R56" s="49" t="s">
        <v>605</v>
      </c>
      <c r="S56" s="47" t="s">
        <v>606</v>
      </c>
      <c r="T56" s="54">
        <v>2850.0</v>
      </c>
      <c r="U56" s="54">
        <v>2850.0</v>
      </c>
      <c r="V56" s="54">
        <v>2850.0</v>
      </c>
      <c r="W56" s="54">
        <v>2850.0</v>
      </c>
      <c r="X56" s="48" t="s">
        <v>609</v>
      </c>
      <c r="Y56" s="48" t="s">
        <v>389</v>
      </c>
      <c r="Z56" s="16"/>
      <c r="AA56" s="48" t="s">
        <v>237</v>
      </c>
      <c r="AB56" s="48" t="s">
        <v>46</v>
      </c>
      <c r="AC56" s="48" t="s">
        <v>46</v>
      </c>
      <c r="AD56" s="48" t="s">
        <v>391</v>
      </c>
      <c r="AE56" s="48" t="s">
        <v>46</v>
      </c>
      <c r="AF56" s="16"/>
      <c r="AG56" s="16"/>
      <c r="AH56" s="48" t="s">
        <v>46</v>
      </c>
      <c r="AI56" s="48" t="s">
        <v>46</v>
      </c>
      <c r="AJ56" s="48" t="s">
        <v>391</v>
      </c>
      <c r="AK56" s="48" t="s">
        <v>421</v>
      </c>
      <c r="AL56" s="48" t="s">
        <v>610</v>
      </c>
      <c r="AM56" s="48">
        <v>1190.0</v>
      </c>
      <c r="AN56" s="48">
        <v>460.0</v>
      </c>
      <c r="AO56" s="48" t="s">
        <v>608</v>
      </c>
      <c r="AP56" s="48" t="str">
        <f t="shared" si="3"/>
        <v>NÃO</v>
      </c>
      <c r="AQ56" s="50" t="s">
        <v>391</v>
      </c>
      <c r="AR56" s="55" t="s">
        <v>612</v>
      </c>
    </row>
    <row r="57" ht="15.75" customHeight="1">
      <c r="A57" s="30" t="s">
        <v>256</v>
      </c>
      <c r="B57" s="30">
        <v>27.0</v>
      </c>
      <c r="C57" s="51" t="s">
        <v>411</v>
      </c>
      <c r="D57" s="30" t="s">
        <v>613</v>
      </c>
      <c r="E57" s="48" t="s">
        <v>614</v>
      </c>
      <c r="F57" s="48" t="s">
        <v>245</v>
      </c>
      <c r="G57" s="48" t="s">
        <v>418</v>
      </c>
      <c r="H57" s="48" t="s">
        <v>437</v>
      </c>
      <c r="I57" s="48" t="s">
        <v>18</v>
      </c>
      <c r="J57" s="48" t="s">
        <v>243</v>
      </c>
      <c r="K57" s="48" t="s">
        <v>244</v>
      </c>
      <c r="L57" s="16"/>
      <c r="M57" s="49">
        <v>400.0</v>
      </c>
      <c r="N57" s="16"/>
      <c r="O57" s="16"/>
      <c r="P57" s="47" t="s">
        <v>597</v>
      </c>
      <c r="Q57" s="49" t="s">
        <v>400</v>
      </c>
      <c r="R57" s="49" t="s">
        <v>615</v>
      </c>
      <c r="S57" s="47" t="s">
        <v>559</v>
      </c>
      <c r="T57" s="49" t="s">
        <v>616</v>
      </c>
      <c r="U57" s="49" t="s">
        <v>459</v>
      </c>
      <c r="V57" s="49" t="s">
        <v>460</v>
      </c>
      <c r="W57" s="49" t="s">
        <v>460</v>
      </c>
      <c r="X57" s="48" t="s">
        <v>617</v>
      </c>
      <c r="Y57" s="48" t="s">
        <v>389</v>
      </c>
      <c r="Z57" s="16"/>
      <c r="AA57" s="48" t="s">
        <v>237</v>
      </c>
      <c r="AB57" s="48" t="s">
        <v>46</v>
      </c>
      <c r="AC57" s="48" t="s">
        <v>46</v>
      </c>
      <c r="AD57" s="48" t="s">
        <v>391</v>
      </c>
      <c r="AE57" s="48" t="s">
        <v>46</v>
      </c>
      <c r="AF57" s="16"/>
      <c r="AG57" s="16"/>
      <c r="AH57" s="48" t="s">
        <v>46</v>
      </c>
      <c r="AI57" s="48" t="s">
        <v>46</v>
      </c>
      <c r="AJ57" s="48" t="s">
        <v>391</v>
      </c>
      <c r="AK57" s="48" t="s">
        <v>421</v>
      </c>
      <c r="AL57" s="48" t="s">
        <v>610</v>
      </c>
      <c r="AM57" s="48">
        <v>25.0</v>
      </c>
      <c r="AN57" s="48">
        <v>10.0</v>
      </c>
      <c r="AO57" s="48" t="s">
        <v>460</v>
      </c>
      <c r="AP57" s="48" t="str">
        <f t="shared" si="3"/>
        <v>NÃO</v>
      </c>
      <c r="AQ57" s="50" t="s">
        <v>391</v>
      </c>
      <c r="AR57" s="16" t="s">
        <v>245</v>
      </c>
    </row>
    <row r="58" ht="15.75" customHeight="1">
      <c r="A58" s="30" t="s">
        <v>260</v>
      </c>
      <c r="B58" s="30">
        <v>28.0</v>
      </c>
      <c r="C58" s="47" t="s">
        <v>248</v>
      </c>
      <c r="D58" s="47" t="s">
        <v>618</v>
      </c>
      <c r="E58" s="48" t="s">
        <v>618</v>
      </c>
      <c r="F58" s="48" t="s">
        <v>250</v>
      </c>
      <c r="G58" s="48" t="s">
        <v>444</v>
      </c>
      <c r="H58" s="48" t="s">
        <v>385</v>
      </c>
      <c r="I58" s="48" t="s">
        <v>251</v>
      </c>
      <c r="J58" s="48" t="s">
        <v>15</v>
      </c>
      <c r="K58" s="48" t="s">
        <v>16</v>
      </c>
      <c r="L58" s="16"/>
      <c r="M58" s="49" t="s">
        <v>536</v>
      </c>
      <c r="N58" s="16"/>
      <c r="O58" s="16"/>
      <c r="P58" s="47" t="s">
        <v>387</v>
      </c>
      <c r="Q58" s="49" t="s">
        <v>536</v>
      </c>
      <c r="R58" s="49" t="s">
        <v>619</v>
      </c>
      <c r="S58" s="47" t="s">
        <v>559</v>
      </c>
      <c r="T58" s="49" t="s">
        <v>620</v>
      </c>
      <c r="U58" s="49" t="s">
        <v>449</v>
      </c>
      <c r="V58" s="49" t="s">
        <v>546</v>
      </c>
      <c r="W58" s="49" t="s">
        <v>546</v>
      </c>
      <c r="X58" s="48" t="s">
        <v>621</v>
      </c>
      <c r="Y58" s="48" t="s">
        <v>389</v>
      </c>
      <c r="Z58" s="16"/>
      <c r="AA58" s="48" t="s">
        <v>249</v>
      </c>
      <c r="AB58" s="48" t="s">
        <v>46</v>
      </c>
      <c r="AC58" s="48" t="s">
        <v>46</v>
      </c>
      <c r="AD58" s="48" t="s">
        <v>391</v>
      </c>
      <c r="AE58" s="48" t="s">
        <v>46</v>
      </c>
      <c r="AF58" s="48" t="s">
        <v>404</v>
      </c>
      <c r="AG58" s="48" t="s">
        <v>404</v>
      </c>
      <c r="AH58" s="48" t="s">
        <v>46</v>
      </c>
      <c r="AI58" s="48" t="s">
        <v>46</v>
      </c>
      <c r="AJ58" s="48" t="s">
        <v>391</v>
      </c>
      <c r="AK58" s="48" t="s">
        <v>421</v>
      </c>
      <c r="AL58" s="48" t="s">
        <v>622</v>
      </c>
      <c r="AM58" s="48">
        <v>12.0</v>
      </c>
      <c r="AN58" s="48">
        <v>4.3</v>
      </c>
      <c r="AO58" s="48" t="s">
        <v>546</v>
      </c>
      <c r="AP58" s="48" t="str">
        <f t="shared" si="3"/>
        <v>NÃO</v>
      </c>
      <c r="AQ58" s="50" t="s">
        <v>391</v>
      </c>
      <c r="AR58" s="16" t="s">
        <v>250</v>
      </c>
    </row>
    <row r="59" ht="15.75" customHeight="1">
      <c r="A59" s="30" t="s">
        <v>263</v>
      </c>
      <c r="B59" s="30">
        <v>28.0</v>
      </c>
      <c r="C59" s="47" t="s">
        <v>248</v>
      </c>
      <c r="D59" s="47" t="s">
        <v>618</v>
      </c>
      <c r="E59" s="48" t="s">
        <v>618</v>
      </c>
      <c r="F59" s="48" t="s">
        <v>254</v>
      </c>
      <c r="G59" s="48" t="s">
        <v>455</v>
      </c>
      <c r="H59" s="48" t="s">
        <v>385</v>
      </c>
      <c r="I59" s="48" t="s">
        <v>251</v>
      </c>
      <c r="J59" s="48" t="s">
        <v>15</v>
      </c>
      <c r="K59" s="48" t="s">
        <v>16</v>
      </c>
      <c r="L59" s="16"/>
      <c r="M59" s="49" t="s">
        <v>574</v>
      </c>
      <c r="N59" s="16"/>
      <c r="O59" s="16"/>
      <c r="P59" s="47" t="s">
        <v>387</v>
      </c>
      <c r="Q59" s="49" t="s">
        <v>574</v>
      </c>
      <c r="R59" s="49" t="s">
        <v>623</v>
      </c>
      <c r="S59" s="47" t="s">
        <v>559</v>
      </c>
      <c r="T59" s="49" t="s">
        <v>624</v>
      </c>
      <c r="U59" s="49" t="s">
        <v>449</v>
      </c>
      <c r="V59" s="49" t="s">
        <v>450</v>
      </c>
      <c r="W59" s="49" t="s">
        <v>450</v>
      </c>
      <c r="X59" s="48" t="s">
        <v>625</v>
      </c>
      <c r="Y59" s="48" t="s">
        <v>389</v>
      </c>
      <c r="Z59" s="16"/>
      <c r="AA59" s="48" t="s">
        <v>249</v>
      </c>
      <c r="AB59" s="48" t="s">
        <v>46</v>
      </c>
      <c r="AC59" s="48" t="s">
        <v>46</v>
      </c>
      <c r="AD59" s="48" t="s">
        <v>391</v>
      </c>
      <c r="AE59" s="48" t="s">
        <v>46</v>
      </c>
      <c r="AF59" s="48" t="s">
        <v>404</v>
      </c>
      <c r="AG59" s="48" t="s">
        <v>404</v>
      </c>
      <c r="AH59" s="48" t="s">
        <v>46</v>
      </c>
      <c r="AI59" s="48" t="s">
        <v>46</v>
      </c>
      <c r="AJ59" s="48" t="s">
        <v>391</v>
      </c>
      <c r="AK59" s="48" t="s">
        <v>421</v>
      </c>
      <c r="AL59" s="48" t="s">
        <v>622</v>
      </c>
      <c r="AM59" s="48">
        <v>14.0</v>
      </c>
      <c r="AN59" s="48">
        <v>5.5</v>
      </c>
      <c r="AO59" s="48" t="s">
        <v>450</v>
      </c>
      <c r="AP59" s="48" t="str">
        <f t="shared" si="3"/>
        <v>NÃO</v>
      </c>
      <c r="AQ59" s="50" t="s">
        <v>391</v>
      </c>
      <c r="AR59" s="16" t="s">
        <v>254</v>
      </c>
    </row>
    <row r="60" ht="15.75" customHeight="1">
      <c r="A60" s="30" t="s">
        <v>266</v>
      </c>
      <c r="B60" s="30">
        <v>29.0</v>
      </c>
      <c r="C60" s="47" t="s">
        <v>248</v>
      </c>
      <c r="D60" s="30" t="s">
        <v>626</v>
      </c>
      <c r="E60" s="48" t="s">
        <v>627</v>
      </c>
      <c r="F60" s="48" t="s">
        <v>258</v>
      </c>
      <c r="G60" s="48" t="s">
        <v>418</v>
      </c>
      <c r="H60" s="48" t="s">
        <v>437</v>
      </c>
      <c r="I60" s="48" t="s">
        <v>18</v>
      </c>
      <c r="J60" s="48" t="s">
        <v>15</v>
      </c>
      <c r="K60" s="48" t="s">
        <v>16</v>
      </c>
      <c r="L60" s="16"/>
      <c r="M60" s="49"/>
      <c r="N60" s="16"/>
      <c r="O60" s="16"/>
      <c r="P60" s="47" t="s">
        <v>387</v>
      </c>
      <c r="Q60" s="52"/>
      <c r="R60" s="52"/>
      <c r="S60" s="47" t="s">
        <v>538</v>
      </c>
      <c r="T60" s="52"/>
      <c r="U60" s="52"/>
      <c r="V60" s="52"/>
      <c r="W60" s="52"/>
      <c r="X60" s="16"/>
      <c r="Y60" s="48" t="s">
        <v>389</v>
      </c>
      <c r="Z60" s="16"/>
      <c r="AA60" s="48" t="s">
        <v>257</v>
      </c>
      <c r="AB60" s="48" t="s">
        <v>46</v>
      </c>
      <c r="AC60" s="48" t="s">
        <v>46</v>
      </c>
      <c r="AD60" s="48" t="s">
        <v>391</v>
      </c>
      <c r="AE60" s="48" t="s">
        <v>46</v>
      </c>
      <c r="AF60" s="16"/>
      <c r="AG60" s="16"/>
      <c r="AH60" s="48" t="s">
        <v>46</v>
      </c>
      <c r="AI60" s="48" t="s">
        <v>46</v>
      </c>
      <c r="AJ60" s="48" t="s">
        <v>391</v>
      </c>
      <c r="AK60" s="48" t="s">
        <v>421</v>
      </c>
      <c r="AL60" s="48" t="s">
        <v>440</v>
      </c>
      <c r="AM60" s="16"/>
      <c r="AN60" s="16"/>
      <c r="AO60" s="16"/>
      <c r="AP60" s="48" t="str">
        <f t="shared" si="3"/>
        <v>NÃO</v>
      </c>
      <c r="AQ60" s="50" t="s">
        <v>391</v>
      </c>
      <c r="AR60" s="16" t="s">
        <v>258</v>
      </c>
    </row>
    <row r="61" ht="15.75" customHeight="1">
      <c r="A61" s="30" t="s">
        <v>628</v>
      </c>
      <c r="B61" s="30">
        <v>30.0</v>
      </c>
      <c r="C61" s="47" t="s">
        <v>248</v>
      </c>
      <c r="D61" s="30" t="s">
        <v>629</v>
      </c>
      <c r="E61" s="48" t="s">
        <v>627</v>
      </c>
      <c r="F61" s="48" t="s">
        <v>261</v>
      </c>
      <c r="G61" s="48" t="s">
        <v>418</v>
      </c>
      <c r="H61" s="48" t="s">
        <v>385</v>
      </c>
      <c r="I61" s="48" t="s">
        <v>18</v>
      </c>
      <c r="J61" s="48" t="s">
        <v>15</v>
      </c>
      <c r="K61" s="48" t="s">
        <v>16</v>
      </c>
      <c r="L61" s="16"/>
      <c r="M61" s="49" t="s">
        <v>438</v>
      </c>
      <c r="N61" s="16"/>
      <c r="O61" s="16"/>
      <c r="P61" s="47" t="s">
        <v>387</v>
      </c>
      <c r="Q61" s="49" t="s">
        <v>438</v>
      </c>
      <c r="R61" s="49" t="s">
        <v>394</v>
      </c>
      <c r="S61" s="47" t="s">
        <v>538</v>
      </c>
      <c r="T61" s="49" t="s">
        <v>432</v>
      </c>
      <c r="U61" s="49" t="s">
        <v>400</v>
      </c>
      <c r="V61" s="49" t="s">
        <v>433</v>
      </c>
      <c r="W61" s="49" t="s">
        <v>433</v>
      </c>
      <c r="X61" s="48" t="s">
        <v>408</v>
      </c>
      <c r="Y61" s="48" t="s">
        <v>389</v>
      </c>
      <c r="Z61" s="16"/>
      <c r="AA61" s="48" t="s">
        <v>257</v>
      </c>
      <c r="AB61" s="48" t="s">
        <v>46</v>
      </c>
      <c r="AC61" s="48" t="s">
        <v>46</v>
      </c>
      <c r="AD61" s="48" t="s">
        <v>391</v>
      </c>
      <c r="AE61" s="48" t="s">
        <v>46</v>
      </c>
      <c r="AF61" s="16"/>
      <c r="AG61" s="16"/>
      <c r="AH61" s="48" t="s">
        <v>46</v>
      </c>
      <c r="AI61" s="48" t="s">
        <v>46</v>
      </c>
      <c r="AJ61" s="48" t="s">
        <v>391</v>
      </c>
      <c r="AK61" s="48" t="s">
        <v>421</v>
      </c>
      <c r="AL61" s="48" t="s">
        <v>440</v>
      </c>
      <c r="AM61" s="48">
        <v>7.0</v>
      </c>
      <c r="AN61" s="48">
        <v>2.0</v>
      </c>
      <c r="AO61" s="48" t="s">
        <v>433</v>
      </c>
      <c r="AP61" s="48" t="str">
        <f t="shared" si="3"/>
        <v>NÃO</v>
      </c>
      <c r="AQ61" s="50" t="s">
        <v>391</v>
      </c>
      <c r="AR61" s="16" t="s">
        <v>261</v>
      </c>
    </row>
    <row r="62" ht="15.75" customHeight="1">
      <c r="A62" s="30" t="s">
        <v>269</v>
      </c>
      <c r="B62" s="30">
        <v>31.0</v>
      </c>
      <c r="C62" s="47" t="s">
        <v>248</v>
      </c>
      <c r="D62" s="51" t="s">
        <v>630</v>
      </c>
      <c r="E62" s="48" t="s">
        <v>627</v>
      </c>
      <c r="F62" s="48" t="s">
        <v>291</v>
      </c>
      <c r="G62" s="48" t="s">
        <v>418</v>
      </c>
      <c r="H62" s="48" t="s">
        <v>437</v>
      </c>
      <c r="I62" s="48" t="s">
        <v>18</v>
      </c>
      <c r="J62" s="48" t="s">
        <v>15</v>
      </c>
      <c r="K62" s="48" t="s">
        <v>16</v>
      </c>
      <c r="L62" s="16"/>
      <c r="M62" s="49"/>
      <c r="N62" s="16"/>
      <c r="O62" s="16"/>
      <c r="P62" s="47" t="s">
        <v>387</v>
      </c>
      <c r="Q62" s="49"/>
      <c r="R62" s="49"/>
      <c r="S62" s="47" t="s">
        <v>538</v>
      </c>
      <c r="T62" s="49"/>
      <c r="U62" s="49"/>
      <c r="V62" s="52"/>
      <c r="W62" s="49"/>
      <c r="X62" s="48"/>
      <c r="Y62" s="48" t="s">
        <v>389</v>
      </c>
      <c r="Z62" s="16"/>
      <c r="AA62" s="48" t="s">
        <v>257</v>
      </c>
      <c r="AB62" s="48" t="s">
        <v>46</v>
      </c>
      <c r="AC62" s="48" t="s">
        <v>46</v>
      </c>
      <c r="AD62" s="48" t="s">
        <v>391</v>
      </c>
      <c r="AE62" s="48" t="s">
        <v>46</v>
      </c>
      <c r="AF62" s="16"/>
      <c r="AG62" s="16"/>
      <c r="AH62" s="48" t="s">
        <v>46</v>
      </c>
      <c r="AI62" s="48" t="s">
        <v>46</v>
      </c>
      <c r="AJ62" s="48" t="s">
        <v>391</v>
      </c>
      <c r="AK62" s="48" t="s">
        <v>421</v>
      </c>
      <c r="AL62" s="48" t="s">
        <v>440</v>
      </c>
      <c r="AM62" s="48"/>
      <c r="AN62" s="48"/>
      <c r="AO62" s="48"/>
      <c r="AP62" s="48" t="str">
        <f t="shared" si="3"/>
        <v>NÃO</v>
      </c>
      <c r="AQ62" s="50" t="s">
        <v>391</v>
      </c>
      <c r="AR62" s="16" t="s">
        <v>291</v>
      </c>
    </row>
    <row r="63" ht="15.75" customHeight="1">
      <c r="A63" s="30" t="s">
        <v>273</v>
      </c>
      <c r="B63" s="30">
        <v>31.0</v>
      </c>
      <c r="C63" s="47" t="s">
        <v>248</v>
      </c>
      <c r="D63" s="30" t="s">
        <v>631</v>
      </c>
      <c r="E63" s="48" t="s">
        <v>627</v>
      </c>
      <c r="F63" s="48" t="s">
        <v>264</v>
      </c>
      <c r="G63" s="48" t="s">
        <v>418</v>
      </c>
      <c r="H63" s="48" t="s">
        <v>437</v>
      </c>
      <c r="I63" s="48" t="s">
        <v>18</v>
      </c>
      <c r="J63" s="48" t="s">
        <v>15</v>
      </c>
      <c r="K63" s="48" t="s">
        <v>16</v>
      </c>
      <c r="L63" s="16"/>
      <c r="M63" s="49">
        <v>5.0</v>
      </c>
      <c r="N63" s="16"/>
      <c r="O63" s="16"/>
      <c r="P63" s="47" t="s">
        <v>387</v>
      </c>
      <c r="Q63" s="52">
        <v>5.0</v>
      </c>
      <c r="R63" s="52">
        <v>5.0</v>
      </c>
      <c r="S63" s="47" t="s">
        <v>538</v>
      </c>
      <c r="T63" s="52">
        <v>8.0</v>
      </c>
      <c r="U63" s="52">
        <v>8.0</v>
      </c>
      <c r="V63" s="52">
        <v>8.0</v>
      </c>
      <c r="W63" s="52">
        <v>8.0</v>
      </c>
      <c r="X63" s="16"/>
      <c r="Y63" s="48" t="s">
        <v>389</v>
      </c>
      <c r="Z63" s="16"/>
      <c r="AA63" s="48" t="s">
        <v>257</v>
      </c>
      <c r="AB63" s="48" t="s">
        <v>46</v>
      </c>
      <c r="AC63" s="48" t="s">
        <v>46</v>
      </c>
      <c r="AD63" s="48" t="s">
        <v>391</v>
      </c>
      <c r="AE63" s="48" t="s">
        <v>46</v>
      </c>
      <c r="AF63" s="16"/>
      <c r="AG63" s="16"/>
      <c r="AH63" s="48" t="s">
        <v>46</v>
      </c>
      <c r="AI63" s="48" t="s">
        <v>46</v>
      </c>
      <c r="AJ63" s="48" t="s">
        <v>391</v>
      </c>
      <c r="AK63" s="48" t="s">
        <v>421</v>
      </c>
      <c r="AL63" s="48" t="s">
        <v>440</v>
      </c>
      <c r="AM63" s="16"/>
      <c r="AN63" s="16"/>
      <c r="AO63" s="16"/>
      <c r="AP63" s="48" t="str">
        <f t="shared" si="3"/>
        <v>NÃO</v>
      </c>
      <c r="AQ63" s="50" t="s">
        <v>391</v>
      </c>
      <c r="AR63" s="16" t="s">
        <v>264</v>
      </c>
    </row>
    <row r="64" ht="15.75" customHeight="1">
      <c r="A64" s="30" t="s">
        <v>276</v>
      </c>
      <c r="B64" s="30">
        <v>31.0</v>
      </c>
      <c r="C64" s="47" t="s">
        <v>248</v>
      </c>
      <c r="D64" s="30" t="s">
        <v>631</v>
      </c>
      <c r="E64" s="48" t="s">
        <v>627</v>
      </c>
      <c r="F64" s="48" t="s">
        <v>267</v>
      </c>
      <c r="G64" s="48" t="s">
        <v>418</v>
      </c>
      <c r="H64" s="48" t="s">
        <v>437</v>
      </c>
      <c r="I64" s="48" t="s">
        <v>18</v>
      </c>
      <c r="J64" s="48" t="s">
        <v>15</v>
      </c>
      <c r="K64" s="48" t="s">
        <v>16</v>
      </c>
      <c r="L64" s="16"/>
      <c r="M64" s="49">
        <v>5.0</v>
      </c>
      <c r="N64" s="16"/>
      <c r="O64" s="16"/>
      <c r="P64" s="47" t="s">
        <v>387</v>
      </c>
      <c r="Q64" s="52">
        <v>5.0</v>
      </c>
      <c r="R64" s="52">
        <v>5.0</v>
      </c>
      <c r="S64" s="47" t="s">
        <v>632</v>
      </c>
      <c r="T64" s="52">
        <v>8.0</v>
      </c>
      <c r="U64" s="52">
        <v>8.0</v>
      </c>
      <c r="V64" s="52">
        <v>8.0</v>
      </c>
      <c r="W64" s="52">
        <v>8.0</v>
      </c>
      <c r="X64" s="16"/>
      <c r="Y64" s="48" t="s">
        <v>389</v>
      </c>
      <c r="Z64" s="16"/>
      <c r="AA64" s="48" t="s">
        <v>257</v>
      </c>
      <c r="AB64" s="48" t="s">
        <v>46</v>
      </c>
      <c r="AC64" s="48" t="s">
        <v>46</v>
      </c>
      <c r="AD64" s="48" t="s">
        <v>391</v>
      </c>
      <c r="AE64" s="48" t="s">
        <v>46</v>
      </c>
      <c r="AF64" s="16"/>
      <c r="AG64" s="16"/>
      <c r="AH64" s="48" t="s">
        <v>46</v>
      </c>
      <c r="AI64" s="48" t="s">
        <v>46</v>
      </c>
      <c r="AJ64" s="48" t="s">
        <v>391</v>
      </c>
      <c r="AK64" s="48" t="s">
        <v>421</v>
      </c>
      <c r="AL64" s="48" t="s">
        <v>440</v>
      </c>
      <c r="AM64" s="16"/>
      <c r="AN64" s="16"/>
      <c r="AO64" s="16"/>
      <c r="AP64" s="48" t="str">
        <f t="shared" si="3"/>
        <v>NÃO</v>
      </c>
      <c r="AQ64" s="50" t="s">
        <v>391</v>
      </c>
      <c r="AR64" s="16" t="s">
        <v>267</v>
      </c>
    </row>
    <row r="65" ht="15.75" customHeight="1">
      <c r="A65" s="30" t="s">
        <v>281</v>
      </c>
      <c r="B65" s="30">
        <v>32.0</v>
      </c>
      <c r="C65" s="47" t="s">
        <v>248</v>
      </c>
      <c r="D65" s="30" t="s">
        <v>633</v>
      </c>
      <c r="E65" s="48" t="s">
        <v>634</v>
      </c>
      <c r="F65" s="48" t="s">
        <v>271</v>
      </c>
      <c r="G65" s="48" t="s">
        <v>444</v>
      </c>
      <c r="H65" s="48" t="s">
        <v>419</v>
      </c>
      <c r="I65" s="48" t="s">
        <v>18</v>
      </c>
      <c r="J65" s="48" t="s">
        <v>15</v>
      </c>
      <c r="K65" s="48" t="s">
        <v>16</v>
      </c>
      <c r="L65" s="16"/>
      <c r="M65" s="49" t="s">
        <v>438</v>
      </c>
      <c r="N65" s="16"/>
      <c r="O65" s="16"/>
      <c r="P65" s="47" t="s">
        <v>387</v>
      </c>
      <c r="Q65" s="49" t="s">
        <v>438</v>
      </c>
      <c r="R65" s="49" t="s">
        <v>394</v>
      </c>
      <c r="S65" s="47" t="s">
        <v>431</v>
      </c>
      <c r="T65" s="49" t="s">
        <v>439</v>
      </c>
      <c r="U65" s="49" t="s">
        <v>400</v>
      </c>
      <c r="V65" s="49" t="s">
        <v>635</v>
      </c>
      <c r="W65" s="49" t="s">
        <v>635</v>
      </c>
      <c r="X65" s="48" t="s">
        <v>636</v>
      </c>
      <c r="Y65" s="48" t="s">
        <v>389</v>
      </c>
      <c r="Z65" s="48" t="s">
        <v>637</v>
      </c>
      <c r="AA65" s="48" t="s">
        <v>270</v>
      </c>
      <c r="AB65" s="48" t="s">
        <v>46</v>
      </c>
      <c r="AC65" s="48" t="s">
        <v>46</v>
      </c>
      <c r="AD65" s="48" t="s">
        <v>391</v>
      </c>
      <c r="AE65" s="48" t="s">
        <v>46</v>
      </c>
      <c r="AF65" s="16"/>
      <c r="AG65" s="16"/>
      <c r="AH65" s="48" t="s">
        <v>46</v>
      </c>
      <c r="AI65" s="48" t="s">
        <v>46</v>
      </c>
      <c r="AJ65" s="48" t="s">
        <v>391</v>
      </c>
      <c r="AK65" s="48" t="s">
        <v>421</v>
      </c>
      <c r="AL65" s="48" t="s">
        <v>638</v>
      </c>
      <c r="AM65" s="48">
        <v>4.5</v>
      </c>
      <c r="AN65" s="48">
        <v>2.0</v>
      </c>
      <c r="AO65" s="48" t="s">
        <v>635</v>
      </c>
      <c r="AP65" s="48" t="str">
        <f t="shared" si="3"/>
        <v>NÃO</v>
      </c>
      <c r="AQ65" s="50" t="s">
        <v>391</v>
      </c>
      <c r="AR65" s="16" t="s">
        <v>271</v>
      </c>
    </row>
    <row r="66" ht="15.75" customHeight="1">
      <c r="A66" s="30" t="s">
        <v>284</v>
      </c>
      <c r="B66" s="30">
        <v>32.0</v>
      </c>
      <c r="C66" s="47" t="s">
        <v>248</v>
      </c>
      <c r="D66" s="30" t="s">
        <v>633</v>
      </c>
      <c r="E66" s="48" t="s">
        <v>639</v>
      </c>
      <c r="F66" s="48" t="s">
        <v>274</v>
      </c>
      <c r="G66" s="48" t="s">
        <v>455</v>
      </c>
      <c r="H66" s="48" t="s">
        <v>419</v>
      </c>
      <c r="I66" s="48" t="s">
        <v>18</v>
      </c>
      <c r="J66" s="48" t="s">
        <v>15</v>
      </c>
      <c r="K66" s="48" t="s">
        <v>16</v>
      </c>
      <c r="L66" s="16"/>
      <c r="M66" s="49" t="s">
        <v>640</v>
      </c>
      <c r="N66" s="16"/>
      <c r="O66" s="16"/>
      <c r="P66" s="47" t="s">
        <v>387</v>
      </c>
      <c r="Q66" s="49" t="s">
        <v>640</v>
      </c>
      <c r="R66" s="49" t="s">
        <v>439</v>
      </c>
      <c r="S66" s="47" t="s">
        <v>431</v>
      </c>
      <c r="T66" s="49" t="s">
        <v>641</v>
      </c>
      <c r="U66" s="49" t="s">
        <v>400</v>
      </c>
      <c r="V66" s="49" t="s">
        <v>406</v>
      </c>
      <c r="W66" s="49" t="s">
        <v>406</v>
      </c>
      <c r="X66" s="48" t="s">
        <v>496</v>
      </c>
      <c r="Y66" s="48" t="s">
        <v>389</v>
      </c>
      <c r="Z66" s="48" t="s">
        <v>637</v>
      </c>
      <c r="AA66" s="48" t="s">
        <v>270</v>
      </c>
      <c r="AB66" s="48" t="s">
        <v>46</v>
      </c>
      <c r="AC66" s="48" t="s">
        <v>46</v>
      </c>
      <c r="AD66" s="48" t="s">
        <v>391</v>
      </c>
      <c r="AE66" s="48" t="s">
        <v>46</v>
      </c>
      <c r="AF66" s="16"/>
      <c r="AG66" s="16"/>
      <c r="AH66" s="48" t="s">
        <v>46</v>
      </c>
      <c r="AI66" s="48" t="s">
        <v>46</v>
      </c>
      <c r="AJ66" s="48" t="s">
        <v>391</v>
      </c>
      <c r="AK66" s="48" t="s">
        <v>421</v>
      </c>
      <c r="AL66" s="48" t="s">
        <v>638</v>
      </c>
      <c r="AM66" s="48">
        <v>8.0</v>
      </c>
      <c r="AN66" s="48">
        <v>4.0</v>
      </c>
      <c r="AO66" s="48" t="s">
        <v>406</v>
      </c>
      <c r="AP66" s="48" t="str">
        <f t="shared" si="3"/>
        <v>NÃO</v>
      </c>
      <c r="AQ66" s="50" t="s">
        <v>391</v>
      </c>
      <c r="AR66" s="16" t="s">
        <v>274</v>
      </c>
    </row>
    <row r="67" ht="15.75" customHeight="1">
      <c r="A67" s="30" t="s">
        <v>287</v>
      </c>
      <c r="B67" s="30">
        <v>33.0</v>
      </c>
      <c r="C67" s="56" t="s">
        <v>642</v>
      </c>
      <c r="D67" s="30" t="s">
        <v>643</v>
      </c>
      <c r="E67" s="48" t="s">
        <v>644</v>
      </c>
      <c r="F67" s="48" t="s">
        <v>279</v>
      </c>
      <c r="G67" s="48" t="s">
        <v>418</v>
      </c>
      <c r="H67" s="48" t="s">
        <v>437</v>
      </c>
      <c r="I67" s="48" t="s">
        <v>18</v>
      </c>
      <c r="J67" s="48" t="s">
        <v>243</v>
      </c>
      <c r="K67" s="48" t="s">
        <v>244</v>
      </c>
      <c r="L67" s="16"/>
      <c r="M67" s="49"/>
      <c r="N67" s="16"/>
      <c r="O67" s="16"/>
      <c r="P67" s="47" t="s">
        <v>645</v>
      </c>
      <c r="Q67" s="52"/>
      <c r="R67" s="52"/>
      <c r="S67" s="47" t="s">
        <v>538</v>
      </c>
      <c r="T67" s="52"/>
      <c r="U67" s="52"/>
      <c r="V67" s="52"/>
      <c r="W67" s="52"/>
      <c r="X67" s="16"/>
      <c r="Y67" s="48" t="s">
        <v>389</v>
      </c>
      <c r="Z67" s="16"/>
      <c r="AA67" s="48" t="s">
        <v>278</v>
      </c>
      <c r="AB67" s="48" t="s">
        <v>46</v>
      </c>
      <c r="AC67" s="48" t="s">
        <v>46</v>
      </c>
      <c r="AD67" s="48" t="s">
        <v>391</v>
      </c>
      <c r="AE67" s="48" t="s">
        <v>46</v>
      </c>
      <c r="AF67" s="16"/>
      <c r="AG67" s="16"/>
      <c r="AH67" s="48" t="s">
        <v>46</v>
      </c>
      <c r="AI67" s="48" t="s">
        <v>46</v>
      </c>
      <c r="AJ67" s="48" t="s">
        <v>391</v>
      </c>
      <c r="AK67" s="48" t="s">
        <v>421</v>
      </c>
      <c r="AL67" s="48" t="s">
        <v>440</v>
      </c>
      <c r="AM67" s="16"/>
      <c r="AN67" s="16"/>
      <c r="AO67" s="16"/>
      <c r="AP67" s="48" t="str">
        <f t="shared" si="3"/>
        <v>NÃO</v>
      </c>
      <c r="AQ67" s="50" t="s">
        <v>391</v>
      </c>
      <c r="AR67" s="16" t="s">
        <v>279</v>
      </c>
    </row>
    <row r="68" ht="15.75" customHeight="1">
      <c r="A68" s="30" t="s">
        <v>290</v>
      </c>
      <c r="B68" s="30">
        <v>33.0</v>
      </c>
      <c r="C68" s="56" t="s">
        <v>642</v>
      </c>
      <c r="D68" s="30" t="s">
        <v>643</v>
      </c>
      <c r="E68" s="48" t="s">
        <v>644</v>
      </c>
      <c r="F68" s="48" t="s">
        <v>288</v>
      </c>
      <c r="G68" s="48" t="s">
        <v>418</v>
      </c>
      <c r="H68" s="48" t="s">
        <v>437</v>
      </c>
      <c r="I68" s="48" t="s">
        <v>18</v>
      </c>
      <c r="J68" s="48" t="s">
        <v>243</v>
      </c>
      <c r="K68" s="48" t="s">
        <v>244</v>
      </c>
      <c r="L68" s="16"/>
      <c r="M68" s="49" t="s">
        <v>646</v>
      </c>
      <c r="N68" s="16"/>
      <c r="O68" s="16"/>
      <c r="P68" s="47" t="s">
        <v>645</v>
      </c>
      <c r="Q68" s="49" t="s">
        <v>646</v>
      </c>
      <c r="R68" s="49" t="s">
        <v>646</v>
      </c>
      <c r="S68" s="47" t="s">
        <v>431</v>
      </c>
      <c r="T68" s="49" t="s">
        <v>647</v>
      </c>
      <c r="U68" s="49" t="s">
        <v>647</v>
      </c>
      <c r="V68" s="52"/>
      <c r="W68" s="49" t="s">
        <v>647</v>
      </c>
      <c r="X68" s="48" t="s">
        <v>388</v>
      </c>
      <c r="Y68" s="48" t="s">
        <v>389</v>
      </c>
      <c r="Z68" s="16"/>
      <c r="AA68" s="48" t="s">
        <v>278</v>
      </c>
      <c r="AB68" s="48" t="s">
        <v>46</v>
      </c>
      <c r="AC68" s="48" t="s">
        <v>46</v>
      </c>
      <c r="AD68" s="48" t="s">
        <v>391</v>
      </c>
      <c r="AE68" s="48" t="s">
        <v>46</v>
      </c>
      <c r="AF68" s="16"/>
      <c r="AG68" s="16"/>
      <c r="AH68" s="48" t="s">
        <v>46</v>
      </c>
      <c r="AI68" s="48" t="s">
        <v>46</v>
      </c>
      <c r="AJ68" s="48" t="s">
        <v>391</v>
      </c>
      <c r="AK68" s="48" t="s">
        <v>421</v>
      </c>
      <c r="AL68" s="48" t="s">
        <v>440</v>
      </c>
      <c r="AM68" s="48">
        <v>1000.0</v>
      </c>
      <c r="AN68" s="48">
        <v>500.0</v>
      </c>
      <c r="AO68" s="48" t="s">
        <v>647</v>
      </c>
      <c r="AP68" s="48" t="str">
        <f t="shared" si="3"/>
        <v>NÃO</v>
      </c>
      <c r="AQ68" s="50" t="s">
        <v>391</v>
      </c>
      <c r="AR68" s="16" t="s">
        <v>288</v>
      </c>
    </row>
    <row r="69" ht="15.75" customHeight="1">
      <c r="A69" s="30" t="s">
        <v>293</v>
      </c>
      <c r="B69" s="30">
        <v>33.0</v>
      </c>
      <c r="C69" s="56" t="s">
        <v>642</v>
      </c>
      <c r="D69" s="30" t="s">
        <v>643</v>
      </c>
      <c r="E69" s="48" t="s">
        <v>648</v>
      </c>
      <c r="F69" s="48" t="s">
        <v>322</v>
      </c>
      <c r="G69" s="48" t="s">
        <v>418</v>
      </c>
      <c r="H69" s="48" t="s">
        <v>437</v>
      </c>
      <c r="I69" s="48" t="s">
        <v>18</v>
      </c>
      <c r="J69" s="48" t="s">
        <v>243</v>
      </c>
      <c r="K69" s="48" t="s">
        <v>244</v>
      </c>
      <c r="L69" s="16"/>
      <c r="M69" s="49"/>
      <c r="N69" s="16"/>
      <c r="O69" s="16"/>
      <c r="P69" s="47" t="s">
        <v>645</v>
      </c>
      <c r="Q69" s="52"/>
      <c r="R69" s="52"/>
      <c r="S69" s="47" t="s">
        <v>538</v>
      </c>
      <c r="T69" s="52"/>
      <c r="U69" s="52"/>
      <c r="V69" s="52"/>
      <c r="W69" s="52"/>
      <c r="X69" s="16"/>
      <c r="Y69" s="48" t="s">
        <v>389</v>
      </c>
      <c r="Z69" s="16"/>
      <c r="AA69" s="48" t="s">
        <v>278</v>
      </c>
      <c r="AB69" s="48" t="s">
        <v>46</v>
      </c>
      <c r="AC69" s="48" t="s">
        <v>46</v>
      </c>
      <c r="AD69" s="48" t="s">
        <v>391</v>
      </c>
      <c r="AE69" s="48" t="s">
        <v>46</v>
      </c>
      <c r="AF69" s="16"/>
      <c r="AG69" s="16"/>
      <c r="AH69" s="48" t="s">
        <v>46</v>
      </c>
      <c r="AI69" s="48" t="s">
        <v>46</v>
      </c>
      <c r="AJ69" s="48" t="s">
        <v>391</v>
      </c>
      <c r="AK69" s="48" t="s">
        <v>421</v>
      </c>
      <c r="AL69" s="48" t="s">
        <v>440</v>
      </c>
      <c r="AM69" s="16"/>
      <c r="AN69" s="16"/>
      <c r="AO69" s="16"/>
      <c r="AP69" s="48" t="str">
        <f t="shared" si="3"/>
        <v>NÃO</v>
      </c>
      <c r="AQ69" s="50" t="s">
        <v>391</v>
      </c>
      <c r="AR69" s="16" t="s">
        <v>322</v>
      </c>
    </row>
    <row r="70" ht="15.75" customHeight="1">
      <c r="A70" s="30" t="s">
        <v>297</v>
      </c>
      <c r="B70" s="30">
        <v>34.0</v>
      </c>
      <c r="C70" s="56" t="s">
        <v>642</v>
      </c>
      <c r="D70" s="30" t="s">
        <v>649</v>
      </c>
      <c r="E70" s="48" t="s">
        <v>648</v>
      </c>
      <c r="F70" s="48" t="s">
        <v>282</v>
      </c>
      <c r="G70" s="48" t="s">
        <v>418</v>
      </c>
      <c r="H70" s="48" t="s">
        <v>437</v>
      </c>
      <c r="I70" s="48" t="s">
        <v>18</v>
      </c>
      <c r="J70" s="48" t="s">
        <v>243</v>
      </c>
      <c r="K70" s="48" t="s">
        <v>244</v>
      </c>
      <c r="L70" s="16"/>
      <c r="M70" s="49" t="s">
        <v>650</v>
      </c>
      <c r="N70" s="16"/>
      <c r="O70" s="16"/>
      <c r="P70" s="47" t="s">
        <v>645</v>
      </c>
      <c r="Q70" s="49" t="s">
        <v>650</v>
      </c>
      <c r="R70" s="49" t="s">
        <v>650</v>
      </c>
      <c r="S70" s="47" t="s">
        <v>538</v>
      </c>
      <c r="T70" s="49" t="s">
        <v>651</v>
      </c>
      <c r="U70" s="49" t="s">
        <v>651</v>
      </c>
      <c r="V70" s="52"/>
      <c r="W70" s="49" t="s">
        <v>651</v>
      </c>
      <c r="X70" s="48" t="s">
        <v>652</v>
      </c>
      <c r="Y70" s="48" t="s">
        <v>389</v>
      </c>
      <c r="Z70" s="16"/>
      <c r="AA70" s="48" t="s">
        <v>278</v>
      </c>
      <c r="AB70" s="48" t="s">
        <v>46</v>
      </c>
      <c r="AC70" s="48" t="s">
        <v>46</v>
      </c>
      <c r="AD70" s="48" t="s">
        <v>391</v>
      </c>
      <c r="AE70" s="48" t="s">
        <v>46</v>
      </c>
      <c r="AF70" s="16"/>
      <c r="AG70" s="16"/>
      <c r="AH70" s="48" t="s">
        <v>46</v>
      </c>
      <c r="AI70" s="48" t="s">
        <v>46</v>
      </c>
      <c r="AJ70" s="48" t="s">
        <v>391</v>
      </c>
      <c r="AK70" s="48" t="s">
        <v>421</v>
      </c>
      <c r="AL70" s="48" t="s">
        <v>440</v>
      </c>
      <c r="AM70" s="48">
        <v>900.0</v>
      </c>
      <c r="AN70" s="48">
        <v>300.0</v>
      </c>
      <c r="AO70" s="48" t="s">
        <v>651</v>
      </c>
      <c r="AP70" s="48" t="str">
        <f t="shared" si="3"/>
        <v>NÃO</v>
      </c>
      <c r="AQ70" s="50" t="s">
        <v>391</v>
      </c>
      <c r="AR70" s="16" t="s">
        <v>282</v>
      </c>
    </row>
    <row r="71" ht="15.75" customHeight="1">
      <c r="A71" s="30" t="s">
        <v>300</v>
      </c>
      <c r="B71" s="30">
        <v>34.0</v>
      </c>
      <c r="C71" s="56" t="s">
        <v>642</v>
      </c>
      <c r="D71" s="30" t="s">
        <v>649</v>
      </c>
      <c r="E71" s="48" t="s">
        <v>648</v>
      </c>
      <c r="F71" s="48" t="s">
        <v>285</v>
      </c>
      <c r="G71" s="48" t="s">
        <v>418</v>
      </c>
      <c r="H71" s="48" t="s">
        <v>437</v>
      </c>
      <c r="I71" s="48" t="s">
        <v>18</v>
      </c>
      <c r="J71" s="48" t="s">
        <v>243</v>
      </c>
      <c r="K71" s="48" t="s">
        <v>244</v>
      </c>
      <c r="L71" s="16"/>
      <c r="M71" s="49" t="s">
        <v>468</v>
      </c>
      <c r="N71" s="16"/>
      <c r="O71" s="16"/>
      <c r="P71" s="47" t="s">
        <v>645</v>
      </c>
      <c r="Q71" s="49" t="s">
        <v>468</v>
      </c>
      <c r="R71" s="49" t="s">
        <v>468</v>
      </c>
      <c r="S71" s="47" t="s">
        <v>653</v>
      </c>
      <c r="T71" s="49" t="s">
        <v>654</v>
      </c>
      <c r="U71" s="49" t="s">
        <v>532</v>
      </c>
      <c r="V71" s="52"/>
      <c r="W71" s="49" t="s">
        <v>532</v>
      </c>
      <c r="X71" s="48" t="s">
        <v>655</v>
      </c>
      <c r="Y71" s="48" t="s">
        <v>389</v>
      </c>
      <c r="Z71" s="16"/>
      <c r="AA71" s="48" t="s">
        <v>278</v>
      </c>
      <c r="AB71" s="48" t="s">
        <v>46</v>
      </c>
      <c r="AC71" s="48" t="s">
        <v>46</v>
      </c>
      <c r="AD71" s="48" t="s">
        <v>391</v>
      </c>
      <c r="AE71" s="48" t="s">
        <v>46</v>
      </c>
      <c r="AF71" s="16"/>
      <c r="AG71" s="16"/>
      <c r="AH71" s="48" t="s">
        <v>46</v>
      </c>
      <c r="AI71" s="48" t="s">
        <v>46</v>
      </c>
      <c r="AJ71" s="48" t="s">
        <v>391</v>
      </c>
      <c r="AK71" s="48" t="s">
        <v>421</v>
      </c>
      <c r="AL71" s="48" t="s">
        <v>440</v>
      </c>
      <c r="AM71" s="48">
        <v>160.0</v>
      </c>
      <c r="AN71" s="48">
        <v>60.0</v>
      </c>
      <c r="AO71" s="48" t="s">
        <v>532</v>
      </c>
      <c r="AP71" s="48" t="str">
        <f t="shared" si="3"/>
        <v>NÃO</v>
      </c>
      <c r="AQ71" s="50" t="s">
        <v>391</v>
      </c>
      <c r="AR71" s="16" t="s">
        <v>285</v>
      </c>
    </row>
    <row r="72" ht="15.75" customHeight="1">
      <c r="A72" s="30" t="s">
        <v>303</v>
      </c>
      <c r="B72" s="30">
        <v>35.0</v>
      </c>
      <c r="C72" s="56" t="s">
        <v>642</v>
      </c>
      <c r="D72" s="51" t="s">
        <v>656</v>
      </c>
      <c r="E72" s="48" t="s">
        <v>657</v>
      </c>
      <c r="F72" s="48" t="s">
        <v>295</v>
      </c>
      <c r="G72" s="48" t="s">
        <v>418</v>
      </c>
      <c r="H72" s="48" t="s">
        <v>437</v>
      </c>
      <c r="I72" s="48" t="s">
        <v>18</v>
      </c>
      <c r="J72" s="48" t="s">
        <v>243</v>
      </c>
      <c r="K72" s="48" t="s">
        <v>244</v>
      </c>
      <c r="L72" s="16"/>
      <c r="M72" s="49" t="s">
        <v>647</v>
      </c>
      <c r="N72" s="16"/>
      <c r="O72" s="16"/>
      <c r="P72" s="47" t="s">
        <v>645</v>
      </c>
      <c r="Q72" s="49" t="s">
        <v>647</v>
      </c>
      <c r="R72" s="49" t="s">
        <v>647</v>
      </c>
      <c r="S72" s="47" t="s">
        <v>504</v>
      </c>
      <c r="T72" s="49" t="s">
        <v>658</v>
      </c>
      <c r="U72" s="49" t="s">
        <v>658</v>
      </c>
      <c r="V72" s="52"/>
      <c r="W72" s="49" t="s">
        <v>658</v>
      </c>
      <c r="X72" s="48" t="s">
        <v>489</v>
      </c>
      <c r="Y72" s="48" t="s">
        <v>389</v>
      </c>
      <c r="Z72" s="16"/>
      <c r="AA72" s="48" t="s">
        <v>278</v>
      </c>
      <c r="AB72" s="48" t="s">
        <v>46</v>
      </c>
      <c r="AC72" s="48" t="s">
        <v>46</v>
      </c>
      <c r="AD72" s="48" t="s">
        <v>391</v>
      </c>
      <c r="AE72" s="48" t="s">
        <v>46</v>
      </c>
      <c r="AF72" s="16"/>
      <c r="AG72" s="16"/>
      <c r="AH72" s="48" t="s">
        <v>46</v>
      </c>
      <c r="AI72" s="48" t="s">
        <v>46</v>
      </c>
      <c r="AJ72" s="48" t="s">
        <v>391</v>
      </c>
      <c r="AK72" s="48" t="s">
        <v>421</v>
      </c>
      <c r="AL72" s="48" t="s">
        <v>440</v>
      </c>
      <c r="AM72" s="48">
        <v>1200.0</v>
      </c>
      <c r="AN72" s="48">
        <v>1000.0</v>
      </c>
      <c r="AO72" s="48" t="s">
        <v>658</v>
      </c>
      <c r="AP72" s="48" t="str">
        <f t="shared" si="3"/>
        <v>NÃO</v>
      </c>
      <c r="AQ72" s="50" t="s">
        <v>391</v>
      </c>
      <c r="AR72" s="16" t="s">
        <v>295</v>
      </c>
    </row>
    <row r="73" ht="15.75" customHeight="1">
      <c r="A73" s="30" t="s">
        <v>306</v>
      </c>
      <c r="B73" s="30">
        <v>35.0</v>
      </c>
      <c r="C73" s="56" t="s">
        <v>642</v>
      </c>
      <c r="D73" s="51" t="s">
        <v>656</v>
      </c>
      <c r="E73" s="48" t="s">
        <v>657</v>
      </c>
      <c r="F73" s="48" t="s">
        <v>298</v>
      </c>
      <c r="G73" s="48" t="s">
        <v>418</v>
      </c>
      <c r="H73" s="48" t="s">
        <v>437</v>
      </c>
      <c r="I73" s="48" t="s">
        <v>18</v>
      </c>
      <c r="J73" s="48" t="s">
        <v>243</v>
      </c>
      <c r="K73" s="48" t="s">
        <v>244</v>
      </c>
      <c r="L73" s="16"/>
      <c r="M73" s="49" t="s">
        <v>659</v>
      </c>
      <c r="N73" s="16"/>
      <c r="O73" s="16"/>
      <c r="P73" s="47" t="s">
        <v>645</v>
      </c>
      <c r="Q73" s="49" t="s">
        <v>659</v>
      </c>
      <c r="R73" s="49" t="s">
        <v>659</v>
      </c>
      <c r="S73" s="47" t="s">
        <v>504</v>
      </c>
      <c r="T73" s="49" t="s">
        <v>660</v>
      </c>
      <c r="U73" s="49" t="s">
        <v>660</v>
      </c>
      <c r="V73" s="52"/>
      <c r="W73" s="49" t="s">
        <v>660</v>
      </c>
      <c r="X73" s="48" t="s">
        <v>489</v>
      </c>
      <c r="Y73" s="48" t="s">
        <v>389</v>
      </c>
      <c r="Z73" s="16"/>
      <c r="AA73" s="48" t="s">
        <v>278</v>
      </c>
      <c r="AB73" s="48" t="s">
        <v>46</v>
      </c>
      <c r="AC73" s="48" t="s">
        <v>46</v>
      </c>
      <c r="AD73" s="48" t="s">
        <v>391</v>
      </c>
      <c r="AE73" s="48" t="s">
        <v>46</v>
      </c>
      <c r="AF73" s="16"/>
      <c r="AG73" s="16"/>
      <c r="AH73" s="48" t="s">
        <v>46</v>
      </c>
      <c r="AI73" s="48" t="s">
        <v>46</v>
      </c>
      <c r="AJ73" s="48" t="s">
        <v>391</v>
      </c>
      <c r="AK73" s="48" t="s">
        <v>421</v>
      </c>
      <c r="AL73" s="48" t="s">
        <v>440</v>
      </c>
      <c r="AM73" s="48">
        <v>3000.0</v>
      </c>
      <c r="AN73" s="48">
        <v>2500.0</v>
      </c>
      <c r="AO73" s="48" t="s">
        <v>660</v>
      </c>
      <c r="AP73" s="48" t="str">
        <f t="shared" si="3"/>
        <v>NÃO</v>
      </c>
      <c r="AQ73" s="50" t="s">
        <v>391</v>
      </c>
      <c r="AR73" s="16" t="s">
        <v>298</v>
      </c>
    </row>
    <row r="74" ht="15.75" customHeight="1">
      <c r="A74" s="30" t="s">
        <v>309</v>
      </c>
      <c r="B74" s="30">
        <v>35.0</v>
      </c>
      <c r="C74" s="56" t="s">
        <v>642</v>
      </c>
      <c r="D74" s="51" t="s">
        <v>656</v>
      </c>
      <c r="E74" s="48" t="s">
        <v>657</v>
      </c>
      <c r="F74" s="48" t="s">
        <v>301</v>
      </c>
      <c r="G74" s="48" t="s">
        <v>418</v>
      </c>
      <c r="H74" s="48" t="s">
        <v>437</v>
      </c>
      <c r="I74" s="48" t="s">
        <v>18</v>
      </c>
      <c r="J74" s="48" t="s">
        <v>243</v>
      </c>
      <c r="K74" s="48" t="s">
        <v>244</v>
      </c>
      <c r="L74" s="16"/>
      <c r="M74" s="49" t="s">
        <v>659</v>
      </c>
      <c r="N74" s="16"/>
      <c r="O74" s="16"/>
      <c r="P74" s="47" t="s">
        <v>645</v>
      </c>
      <c r="Q74" s="49" t="s">
        <v>659</v>
      </c>
      <c r="R74" s="49" t="s">
        <v>659</v>
      </c>
      <c r="S74" s="47" t="s">
        <v>504</v>
      </c>
      <c r="T74" s="49" t="s">
        <v>660</v>
      </c>
      <c r="U74" s="49" t="s">
        <v>660</v>
      </c>
      <c r="V74" s="52"/>
      <c r="W74" s="49" t="s">
        <v>660</v>
      </c>
      <c r="X74" s="48" t="s">
        <v>489</v>
      </c>
      <c r="Y74" s="48" t="s">
        <v>389</v>
      </c>
      <c r="Z74" s="16"/>
      <c r="AA74" s="48" t="s">
        <v>278</v>
      </c>
      <c r="AB74" s="48" t="s">
        <v>46</v>
      </c>
      <c r="AC74" s="48" t="s">
        <v>46</v>
      </c>
      <c r="AD74" s="48" t="s">
        <v>391</v>
      </c>
      <c r="AE74" s="48" t="s">
        <v>46</v>
      </c>
      <c r="AF74" s="16"/>
      <c r="AG74" s="16"/>
      <c r="AH74" s="48" t="s">
        <v>46</v>
      </c>
      <c r="AI74" s="48" t="s">
        <v>46</v>
      </c>
      <c r="AJ74" s="48" t="s">
        <v>391</v>
      </c>
      <c r="AK74" s="48" t="s">
        <v>421</v>
      </c>
      <c r="AL74" s="48" t="s">
        <v>440</v>
      </c>
      <c r="AM74" s="48">
        <v>3000.0</v>
      </c>
      <c r="AN74" s="48">
        <v>2500.0</v>
      </c>
      <c r="AO74" s="48" t="s">
        <v>660</v>
      </c>
      <c r="AP74" s="48" t="str">
        <f t="shared" si="3"/>
        <v>NÃO</v>
      </c>
      <c r="AQ74" s="50" t="s">
        <v>391</v>
      </c>
      <c r="AR74" s="16" t="s">
        <v>301</v>
      </c>
    </row>
    <row r="75" ht="15.75" customHeight="1">
      <c r="A75" s="30" t="s">
        <v>312</v>
      </c>
      <c r="B75" s="30">
        <v>35.0</v>
      </c>
      <c r="C75" s="56" t="s">
        <v>642</v>
      </c>
      <c r="D75" s="51" t="s">
        <v>656</v>
      </c>
      <c r="E75" s="48" t="s">
        <v>657</v>
      </c>
      <c r="F75" s="48" t="s">
        <v>304</v>
      </c>
      <c r="G75" s="48" t="s">
        <v>418</v>
      </c>
      <c r="H75" s="48" t="s">
        <v>437</v>
      </c>
      <c r="I75" s="48" t="s">
        <v>18</v>
      </c>
      <c r="J75" s="48" t="s">
        <v>243</v>
      </c>
      <c r="K75" s="48" t="s">
        <v>244</v>
      </c>
      <c r="L75" s="16"/>
      <c r="M75" s="49" t="s">
        <v>660</v>
      </c>
      <c r="N75" s="16"/>
      <c r="O75" s="16"/>
      <c r="P75" s="47" t="s">
        <v>645</v>
      </c>
      <c r="Q75" s="49" t="s">
        <v>660</v>
      </c>
      <c r="R75" s="49" t="s">
        <v>660</v>
      </c>
      <c r="S75" s="47" t="s">
        <v>504</v>
      </c>
      <c r="T75" s="49" t="s">
        <v>661</v>
      </c>
      <c r="U75" s="49" t="s">
        <v>661</v>
      </c>
      <c r="V75" s="52"/>
      <c r="W75" s="49" t="s">
        <v>661</v>
      </c>
      <c r="X75" s="48" t="s">
        <v>489</v>
      </c>
      <c r="Y75" s="48" t="s">
        <v>389</v>
      </c>
      <c r="Z75" s="16"/>
      <c r="AA75" s="48" t="s">
        <v>278</v>
      </c>
      <c r="AB75" s="48" t="s">
        <v>46</v>
      </c>
      <c r="AC75" s="48" t="s">
        <v>46</v>
      </c>
      <c r="AD75" s="48" t="s">
        <v>391</v>
      </c>
      <c r="AE75" s="48" t="s">
        <v>46</v>
      </c>
      <c r="AF75" s="16"/>
      <c r="AG75" s="16"/>
      <c r="AH75" s="48" t="s">
        <v>46</v>
      </c>
      <c r="AI75" s="48" t="s">
        <v>46</v>
      </c>
      <c r="AJ75" s="48" t="s">
        <v>391</v>
      </c>
      <c r="AK75" s="48" t="s">
        <v>421</v>
      </c>
      <c r="AL75" s="48" t="s">
        <v>440</v>
      </c>
      <c r="AM75" s="48">
        <v>3600.0</v>
      </c>
      <c r="AN75" s="48">
        <v>3000.0</v>
      </c>
      <c r="AO75" s="48" t="s">
        <v>661</v>
      </c>
      <c r="AP75" s="48" t="str">
        <f t="shared" si="3"/>
        <v>NÃO</v>
      </c>
      <c r="AQ75" s="50" t="s">
        <v>391</v>
      </c>
      <c r="AR75" s="16" t="s">
        <v>304</v>
      </c>
    </row>
    <row r="76" ht="15.75" customHeight="1">
      <c r="A76" s="30" t="s">
        <v>315</v>
      </c>
      <c r="B76" s="30">
        <v>35.0</v>
      </c>
      <c r="C76" s="56" t="s">
        <v>642</v>
      </c>
      <c r="D76" s="51" t="s">
        <v>656</v>
      </c>
      <c r="E76" s="48" t="s">
        <v>657</v>
      </c>
      <c r="F76" s="48" t="s">
        <v>307</v>
      </c>
      <c r="G76" s="48" t="s">
        <v>418</v>
      </c>
      <c r="H76" s="48" t="s">
        <v>437</v>
      </c>
      <c r="I76" s="48" t="s">
        <v>18</v>
      </c>
      <c r="J76" s="48" t="s">
        <v>243</v>
      </c>
      <c r="K76" s="48" t="s">
        <v>244</v>
      </c>
      <c r="L76" s="16"/>
      <c r="M76" s="49" t="s">
        <v>662</v>
      </c>
      <c r="N76" s="16"/>
      <c r="O76" s="16"/>
      <c r="P76" s="47" t="s">
        <v>645</v>
      </c>
      <c r="Q76" s="49" t="s">
        <v>662</v>
      </c>
      <c r="R76" s="49" t="s">
        <v>662</v>
      </c>
      <c r="S76" s="47" t="s">
        <v>663</v>
      </c>
      <c r="T76" s="49" t="s">
        <v>664</v>
      </c>
      <c r="U76" s="49" t="s">
        <v>664</v>
      </c>
      <c r="V76" s="52"/>
      <c r="W76" s="49" t="s">
        <v>664</v>
      </c>
      <c r="X76" s="48" t="s">
        <v>665</v>
      </c>
      <c r="Y76" s="48" t="s">
        <v>389</v>
      </c>
      <c r="Z76" s="16"/>
      <c r="AA76" s="48" t="s">
        <v>278</v>
      </c>
      <c r="AB76" s="48" t="s">
        <v>46</v>
      </c>
      <c r="AC76" s="48" t="s">
        <v>46</v>
      </c>
      <c r="AD76" s="48" t="s">
        <v>391</v>
      </c>
      <c r="AE76" s="48" t="s">
        <v>46</v>
      </c>
      <c r="AF76" s="16"/>
      <c r="AG76" s="16"/>
      <c r="AH76" s="48" t="s">
        <v>46</v>
      </c>
      <c r="AI76" s="48" t="s">
        <v>46</v>
      </c>
      <c r="AJ76" s="48" t="s">
        <v>391</v>
      </c>
      <c r="AK76" s="48" t="s">
        <v>421</v>
      </c>
      <c r="AL76" s="48" t="s">
        <v>440</v>
      </c>
      <c r="AM76" s="48">
        <v>1120.0</v>
      </c>
      <c r="AN76" s="48">
        <v>700.0</v>
      </c>
      <c r="AO76" s="48" t="s">
        <v>664</v>
      </c>
      <c r="AP76" s="48" t="str">
        <f t="shared" si="3"/>
        <v>NÃO</v>
      </c>
      <c r="AQ76" s="50" t="s">
        <v>391</v>
      </c>
      <c r="AR76" s="16" t="s">
        <v>307</v>
      </c>
    </row>
    <row r="77" ht="15.75" customHeight="1">
      <c r="A77" s="30" t="s">
        <v>318</v>
      </c>
      <c r="B77" s="30">
        <v>35.0</v>
      </c>
      <c r="C77" s="56" t="s">
        <v>642</v>
      </c>
      <c r="D77" s="51" t="s">
        <v>656</v>
      </c>
      <c r="E77" s="48" t="s">
        <v>657</v>
      </c>
      <c r="F77" s="48" t="s">
        <v>310</v>
      </c>
      <c r="G77" s="48" t="s">
        <v>418</v>
      </c>
      <c r="H77" s="48" t="s">
        <v>437</v>
      </c>
      <c r="I77" s="48" t="s">
        <v>18</v>
      </c>
      <c r="J77" s="48" t="s">
        <v>243</v>
      </c>
      <c r="K77" s="48" t="s">
        <v>244</v>
      </c>
      <c r="L77" s="16"/>
      <c r="M77" s="49" t="s">
        <v>662</v>
      </c>
      <c r="N77" s="16"/>
      <c r="O77" s="16"/>
      <c r="P77" s="47" t="s">
        <v>645</v>
      </c>
      <c r="Q77" s="49" t="s">
        <v>662</v>
      </c>
      <c r="R77" s="49" t="s">
        <v>662</v>
      </c>
      <c r="S77" s="47" t="s">
        <v>482</v>
      </c>
      <c r="T77" s="49" t="s">
        <v>666</v>
      </c>
      <c r="U77" s="49" t="s">
        <v>666</v>
      </c>
      <c r="V77" s="52"/>
      <c r="W77" s="49" t="s">
        <v>666</v>
      </c>
      <c r="X77" s="48" t="s">
        <v>667</v>
      </c>
      <c r="Y77" s="48" t="s">
        <v>389</v>
      </c>
      <c r="Z77" s="16"/>
      <c r="AA77" s="48" t="s">
        <v>278</v>
      </c>
      <c r="AB77" s="48" t="s">
        <v>46</v>
      </c>
      <c r="AC77" s="48" t="s">
        <v>46</v>
      </c>
      <c r="AD77" s="48" t="s">
        <v>391</v>
      </c>
      <c r="AE77" s="48" t="s">
        <v>46</v>
      </c>
      <c r="AF77" s="16"/>
      <c r="AG77" s="16"/>
      <c r="AH77" s="48" t="s">
        <v>46</v>
      </c>
      <c r="AI77" s="48" t="s">
        <v>46</v>
      </c>
      <c r="AJ77" s="48" t="s">
        <v>391</v>
      </c>
      <c r="AK77" s="48" t="s">
        <v>421</v>
      </c>
      <c r="AL77" s="48" t="s">
        <v>440</v>
      </c>
      <c r="AM77" s="48">
        <v>910.0</v>
      </c>
      <c r="AN77" s="48">
        <v>700.0</v>
      </c>
      <c r="AO77" s="48" t="s">
        <v>666</v>
      </c>
      <c r="AP77" s="48" t="str">
        <f t="shared" si="3"/>
        <v>NÃO</v>
      </c>
      <c r="AQ77" s="50" t="s">
        <v>391</v>
      </c>
      <c r="AR77" s="16" t="s">
        <v>310</v>
      </c>
    </row>
    <row r="78" ht="15.75" customHeight="1">
      <c r="A78" s="30" t="s">
        <v>321</v>
      </c>
      <c r="B78" s="30">
        <v>35.0</v>
      </c>
      <c r="C78" s="56" t="s">
        <v>642</v>
      </c>
      <c r="D78" s="51" t="s">
        <v>656</v>
      </c>
      <c r="E78" s="48" t="s">
        <v>657</v>
      </c>
      <c r="F78" s="48" t="s">
        <v>313</v>
      </c>
      <c r="G78" s="48" t="s">
        <v>418</v>
      </c>
      <c r="H78" s="48" t="s">
        <v>437</v>
      </c>
      <c r="I78" s="48" t="s">
        <v>18</v>
      </c>
      <c r="J78" s="48" t="s">
        <v>243</v>
      </c>
      <c r="K78" s="48" t="s">
        <v>244</v>
      </c>
      <c r="L78" s="16"/>
      <c r="M78" s="49" t="s">
        <v>668</v>
      </c>
      <c r="N78" s="16"/>
      <c r="O78" s="16"/>
      <c r="P78" s="47" t="s">
        <v>645</v>
      </c>
      <c r="Q78" s="49" t="s">
        <v>668</v>
      </c>
      <c r="R78" s="49" t="s">
        <v>668</v>
      </c>
      <c r="S78" s="47" t="s">
        <v>538</v>
      </c>
      <c r="T78" s="49" t="s">
        <v>669</v>
      </c>
      <c r="U78" s="49" t="s">
        <v>669</v>
      </c>
      <c r="V78" s="52"/>
      <c r="W78" s="49" t="s">
        <v>669</v>
      </c>
      <c r="X78" s="48" t="s">
        <v>652</v>
      </c>
      <c r="Y78" s="48" t="s">
        <v>389</v>
      </c>
      <c r="Z78" s="16"/>
      <c r="AA78" s="48" t="s">
        <v>278</v>
      </c>
      <c r="AB78" s="48" t="s">
        <v>46</v>
      </c>
      <c r="AC78" s="48" t="s">
        <v>46</v>
      </c>
      <c r="AD78" s="48" t="s">
        <v>391</v>
      </c>
      <c r="AE78" s="48" t="s">
        <v>46</v>
      </c>
      <c r="AF78" s="16"/>
      <c r="AG78" s="16"/>
      <c r="AH78" s="48" t="s">
        <v>46</v>
      </c>
      <c r="AI78" s="48" t="s">
        <v>46</v>
      </c>
      <c r="AJ78" s="48" t="s">
        <v>391</v>
      </c>
      <c r="AK78" s="48" t="s">
        <v>421</v>
      </c>
      <c r="AL78" s="48" t="s">
        <v>440</v>
      </c>
      <c r="AM78" s="48">
        <v>1050.0</v>
      </c>
      <c r="AN78" s="48">
        <v>350.0</v>
      </c>
      <c r="AO78" s="48" t="s">
        <v>669</v>
      </c>
      <c r="AP78" s="48" t="str">
        <f t="shared" si="3"/>
        <v>NÃO</v>
      </c>
      <c r="AQ78" s="50" t="s">
        <v>391</v>
      </c>
      <c r="AR78" s="16" t="s">
        <v>313</v>
      </c>
    </row>
    <row r="79" ht="15.75" customHeight="1">
      <c r="A79" s="30" t="s">
        <v>670</v>
      </c>
      <c r="B79" s="30">
        <v>35.0</v>
      </c>
      <c r="C79" s="56" t="s">
        <v>642</v>
      </c>
      <c r="D79" s="51" t="s">
        <v>656</v>
      </c>
      <c r="E79" s="48" t="s">
        <v>657</v>
      </c>
      <c r="F79" s="48" t="s">
        <v>316</v>
      </c>
      <c r="G79" s="48" t="s">
        <v>418</v>
      </c>
      <c r="H79" s="48" t="s">
        <v>437</v>
      </c>
      <c r="I79" s="48" t="s">
        <v>18</v>
      </c>
      <c r="J79" s="48" t="s">
        <v>243</v>
      </c>
      <c r="K79" s="48" t="s">
        <v>244</v>
      </c>
      <c r="L79" s="16"/>
      <c r="M79" s="49" t="s">
        <v>647</v>
      </c>
      <c r="N79" s="16"/>
      <c r="O79" s="16"/>
      <c r="P79" s="47" t="s">
        <v>645</v>
      </c>
      <c r="Q79" s="49" t="s">
        <v>647</v>
      </c>
      <c r="R79" s="49" t="s">
        <v>647</v>
      </c>
      <c r="S79" s="47" t="s">
        <v>504</v>
      </c>
      <c r="T79" s="49" t="s">
        <v>658</v>
      </c>
      <c r="U79" s="49" t="s">
        <v>658</v>
      </c>
      <c r="V79" s="52"/>
      <c r="W79" s="49" t="s">
        <v>658</v>
      </c>
      <c r="X79" s="48" t="s">
        <v>489</v>
      </c>
      <c r="Y79" s="48" t="s">
        <v>389</v>
      </c>
      <c r="Z79" s="16"/>
      <c r="AA79" s="48" t="s">
        <v>278</v>
      </c>
      <c r="AB79" s="48" t="s">
        <v>46</v>
      </c>
      <c r="AC79" s="48" t="s">
        <v>46</v>
      </c>
      <c r="AD79" s="48" t="s">
        <v>391</v>
      </c>
      <c r="AE79" s="48" t="s">
        <v>46</v>
      </c>
      <c r="AF79" s="16"/>
      <c r="AG79" s="16"/>
      <c r="AH79" s="48" t="s">
        <v>46</v>
      </c>
      <c r="AI79" s="48" t="s">
        <v>46</v>
      </c>
      <c r="AJ79" s="48" t="s">
        <v>391</v>
      </c>
      <c r="AK79" s="48" t="s">
        <v>421</v>
      </c>
      <c r="AL79" s="48" t="s">
        <v>440</v>
      </c>
      <c r="AM79" s="48">
        <v>1200.0</v>
      </c>
      <c r="AN79" s="48">
        <v>1000.0</v>
      </c>
      <c r="AO79" s="48" t="s">
        <v>658</v>
      </c>
      <c r="AP79" s="48" t="str">
        <f t="shared" si="3"/>
        <v>NÃO</v>
      </c>
      <c r="AQ79" s="50" t="s">
        <v>391</v>
      </c>
      <c r="AR79" s="16" t="s">
        <v>316</v>
      </c>
    </row>
    <row r="80" ht="15.75" customHeight="1">
      <c r="A80" s="30" t="s">
        <v>671</v>
      </c>
      <c r="B80" s="30">
        <v>35.0</v>
      </c>
      <c r="C80" s="56" t="s">
        <v>642</v>
      </c>
      <c r="D80" s="51" t="s">
        <v>656</v>
      </c>
      <c r="E80" s="48" t="s">
        <v>657</v>
      </c>
      <c r="F80" s="48" t="s">
        <v>319</v>
      </c>
      <c r="G80" s="48" t="s">
        <v>418</v>
      </c>
      <c r="H80" s="48" t="s">
        <v>437</v>
      </c>
      <c r="I80" s="48" t="s">
        <v>18</v>
      </c>
      <c r="J80" s="48" t="s">
        <v>243</v>
      </c>
      <c r="K80" s="48" t="s">
        <v>244</v>
      </c>
      <c r="L80" s="16"/>
      <c r="M80" s="49" t="s">
        <v>658</v>
      </c>
      <c r="N80" s="16"/>
      <c r="O80" s="16"/>
      <c r="P80" s="47" t="s">
        <v>645</v>
      </c>
      <c r="Q80" s="52" t="s">
        <v>658</v>
      </c>
      <c r="R80" s="52" t="s">
        <v>658</v>
      </c>
      <c r="S80" s="47" t="s">
        <v>504</v>
      </c>
      <c r="T80" s="52" t="s">
        <v>672</v>
      </c>
      <c r="U80" s="52" t="s">
        <v>672</v>
      </c>
      <c r="V80" s="52"/>
      <c r="W80" s="52" t="s">
        <v>672</v>
      </c>
      <c r="X80" s="16" t="s">
        <v>489</v>
      </c>
      <c r="Y80" s="48" t="s">
        <v>389</v>
      </c>
      <c r="Z80" s="16"/>
      <c r="AA80" s="48" t="s">
        <v>278</v>
      </c>
      <c r="AB80" s="48" t="s">
        <v>46</v>
      </c>
      <c r="AC80" s="48" t="s">
        <v>46</v>
      </c>
      <c r="AD80" s="48" t="s">
        <v>391</v>
      </c>
      <c r="AE80" s="48" t="s">
        <v>46</v>
      </c>
      <c r="AF80" s="16"/>
      <c r="AG80" s="16"/>
      <c r="AH80" s="48" t="s">
        <v>46</v>
      </c>
      <c r="AI80" s="48" t="s">
        <v>46</v>
      </c>
      <c r="AJ80" s="48" t="s">
        <v>391</v>
      </c>
      <c r="AK80" s="48" t="s">
        <v>421</v>
      </c>
      <c r="AL80" s="48" t="s">
        <v>440</v>
      </c>
      <c r="AM80" s="16">
        <v>1440.0</v>
      </c>
      <c r="AN80" s="16">
        <v>1200.0</v>
      </c>
      <c r="AO80" s="16" t="s">
        <v>672</v>
      </c>
      <c r="AP80" s="48" t="str">
        <f t="shared" si="3"/>
        <v>NÃO</v>
      </c>
      <c r="AQ80" s="50" t="s">
        <v>391</v>
      </c>
      <c r="AR80" s="16" t="s">
        <v>319</v>
      </c>
    </row>
    <row r="81" ht="15.75" customHeight="1">
      <c r="A81" s="57"/>
      <c r="B81" s="28"/>
      <c r="C81" s="57"/>
      <c r="D81" s="57"/>
      <c r="M81" s="58"/>
      <c r="P81" s="28"/>
      <c r="Q81" s="58"/>
      <c r="R81" s="58"/>
      <c r="S81" s="28"/>
      <c r="T81" s="58"/>
      <c r="U81" s="58"/>
      <c r="V81" s="58"/>
      <c r="W81" s="58"/>
      <c r="AQ81" s="57"/>
    </row>
    <row r="82" ht="15.75" customHeight="1">
      <c r="A82" s="57"/>
      <c r="B82" s="28"/>
      <c r="C82" s="57"/>
      <c r="D82" s="57"/>
      <c r="M82" s="58"/>
      <c r="P82" s="28"/>
      <c r="Q82" s="58"/>
      <c r="R82" s="58"/>
      <c r="S82" s="28"/>
      <c r="T82" s="58"/>
      <c r="U82" s="58"/>
      <c r="V82" s="58"/>
      <c r="W82" s="58"/>
      <c r="AQ82" s="57"/>
    </row>
    <row r="83" ht="15.75" customHeight="1">
      <c r="A83" s="57"/>
      <c r="B83" s="28"/>
      <c r="C83" s="57"/>
      <c r="D83" s="57"/>
      <c r="M83" s="58"/>
      <c r="P83" s="28"/>
      <c r="Q83" s="58"/>
      <c r="R83" s="58"/>
      <c r="S83" s="28"/>
      <c r="T83" s="58"/>
      <c r="U83" s="58"/>
      <c r="V83" s="58"/>
      <c r="W83" s="58"/>
      <c r="AQ83" s="57"/>
    </row>
    <row r="84" ht="15.75" customHeight="1">
      <c r="A84" s="57"/>
      <c r="B84" s="28"/>
      <c r="C84" s="57"/>
      <c r="D84" s="57"/>
      <c r="M84" s="58"/>
      <c r="P84" s="28"/>
      <c r="Q84" s="58"/>
      <c r="R84" s="58"/>
      <c r="S84" s="28"/>
      <c r="T84" s="58"/>
      <c r="U84" s="58"/>
      <c r="V84" s="58"/>
      <c r="W84" s="58"/>
      <c r="AQ84" s="57"/>
    </row>
    <row r="85" ht="15.75" customHeight="1">
      <c r="A85" s="57"/>
      <c r="B85" s="28"/>
      <c r="C85" s="57"/>
      <c r="D85" s="57"/>
      <c r="M85" s="58"/>
      <c r="P85" s="28"/>
      <c r="Q85" s="58"/>
      <c r="R85" s="58"/>
      <c r="S85" s="28"/>
      <c r="T85" s="58"/>
      <c r="U85" s="58"/>
      <c r="V85" s="58"/>
      <c r="W85" s="58"/>
      <c r="AQ85" s="57"/>
    </row>
    <row r="86" ht="15.75" customHeight="1">
      <c r="A86" s="57"/>
      <c r="B86" s="28"/>
      <c r="C86" s="57"/>
      <c r="D86" s="57"/>
      <c r="M86" s="58"/>
      <c r="P86" s="28"/>
      <c r="Q86" s="58"/>
      <c r="R86" s="58"/>
      <c r="S86" s="28"/>
      <c r="T86" s="58"/>
      <c r="U86" s="58"/>
      <c r="V86" s="58"/>
      <c r="W86" s="58"/>
      <c r="AQ86" s="57"/>
    </row>
    <row r="87" ht="15.75" customHeight="1">
      <c r="A87" s="57"/>
      <c r="B87" s="28"/>
      <c r="C87" s="57"/>
      <c r="D87" s="57"/>
      <c r="M87" s="58"/>
      <c r="P87" s="28"/>
      <c r="Q87" s="58"/>
      <c r="R87" s="58"/>
      <c r="S87" s="28"/>
      <c r="T87" s="58"/>
      <c r="U87" s="58"/>
      <c r="V87" s="58"/>
      <c r="W87" s="58"/>
      <c r="AQ87" s="57"/>
    </row>
    <row r="88" ht="15.75" customHeight="1">
      <c r="A88" s="57"/>
      <c r="B88" s="28"/>
      <c r="C88" s="57"/>
      <c r="D88" s="57"/>
      <c r="M88" s="58"/>
      <c r="P88" s="28"/>
      <c r="Q88" s="58"/>
      <c r="R88" s="58"/>
      <c r="S88" s="28"/>
      <c r="T88" s="58"/>
      <c r="U88" s="58"/>
      <c r="V88" s="58"/>
      <c r="W88" s="58"/>
      <c r="AQ88" s="57"/>
    </row>
    <row r="89" ht="15.75" customHeight="1">
      <c r="A89" s="57"/>
      <c r="B89" s="28"/>
      <c r="C89" s="57"/>
      <c r="D89" s="57"/>
      <c r="M89" s="58"/>
      <c r="P89" s="28"/>
      <c r="Q89" s="58"/>
      <c r="R89" s="58"/>
      <c r="S89" s="28"/>
      <c r="T89" s="58"/>
      <c r="U89" s="58"/>
      <c r="V89" s="58"/>
      <c r="W89" s="58"/>
      <c r="AQ89" s="57"/>
    </row>
    <row r="90" ht="15.75" customHeight="1">
      <c r="A90" s="57"/>
      <c r="B90" s="28"/>
      <c r="C90" s="57"/>
      <c r="D90" s="57"/>
      <c r="M90" s="58"/>
      <c r="P90" s="28"/>
      <c r="Q90" s="58"/>
      <c r="R90" s="58"/>
      <c r="S90" s="28"/>
      <c r="T90" s="58"/>
      <c r="U90" s="58"/>
      <c r="V90" s="58"/>
      <c r="W90" s="58"/>
      <c r="AQ90" s="57"/>
    </row>
    <row r="91" ht="15.75" customHeight="1">
      <c r="A91" s="57"/>
      <c r="B91" s="28"/>
      <c r="C91" s="57"/>
      <c r="D91" s="57"/>
      <c r="M91" s="58"/>
      <c r="P91" s="28"/>
      <c r="Q91" s="58"/>
      <c r="R91" s="58"/>
      <c r="S91" s="28"/>
      <c r="T91" s="58"/>
      <c r="U91" s="58"/>
      <c r="V91" s="58"/>
      <c r="W91" s="58"/>
      <c r="AQ91" s="57"/>
    </row>
    <row r="92" ht="15.75" customHeight="1">
      <c r="A92" s="57"/>
      <c r="B92" s="28"/>
      <c r="C92" s="57"/>
      <c r="D92" s="57"/>
      <c r="M92" s="58"/>
      <c r="P92" s="28"/>
      <c r="Q92" s="58"/>
      <c r="R92" s="58"/>
      <c r="S92" s="28"/>
      <c r="T92" s="58"/>
      <c r="U92" s="58"/>
      <c r="V92" s="58"/>
      <c r="W92" s="58"/>
      <c r="AQ92" s="57"/>
    </row>
    <row r="93" ht="15.75" customHeight="1">
      <c r="A93" s="57"/>
      <c r="B93" s="28"/>
      <c r="C93" s="57"/>
      <c r="D93" s="57"/>
      <c r="M93" s="58"/>
      <c r="P93" s="28"/>
      <c r="Q93" s="58"/>
      <c r="R93" s="58"/>
      <c r="S93" s="28"/>
      <c r="T93" s="58"/>
      <c r="U93" s="58"/>
      <c r="V93" s="58"/>
      <c r="W93" s="58"/>
      <c r="AQ93" s="57"/>
    </row>
    <row r="94" ht="15.75" customHeight="1">
      <c r="A94" s="57"/>
      <c r="B94" s="28"/>
      <c r="C94" s="57"/>
      <c r="D94" s="57"/>
      <c r="M94" s="58"/>
      <c r="P94" s="28"/>
      <c r="Q94" s="58"/>
      <c r="R94" s="58"/>
      <c r="S94" s="28"/>
      <c r="T94" s="58"/>
      <c r="U94" s="58"/>
      <c r="V94" s="58"/>
      <c r="W94" s="58"/>
      <c r="AQ94" s="57"/>
    </row>
    <row r="95" ht="15.75" customHeight="1">
      <c r="A95" s="57"/>
      <c r="B95" s="28"/>
      <c r="C95" s="57"/>
      <c r="D95" s="57"/>
      <c r="M95" s="58"/>
      <c r="P95" s="28"/>
      <c r="Q95" s="58"/>
      <c r="R95" s="58"/>
      <c r="S95" s="28"/>
      <c r="T95" s="58"/>
      <c r="U95" s="58"/>
      <c r="V95" s="58"/>
      <c r="W95" s="58"/>
      <c r="AQ95" s="57"/>
    </row>
    <row r="96" ht="15.75" customHeight="1">
      <c r="A96" s="57"/>
      <c r="B96" s="28"/>
      <c r="C96" s="57"/>
      <c r="D96" s="57"/>
      <c r="M96" s="58"/>
      <c r="P96" s="28"/>
      <c r="Q96" s="58"/>
      <c r="R96" s="58"/>
      <c r="S96" s="28"/>
      <c r="T96" s="58"/>
      <c r="U96" s="58"/>
      <c r="V96" s="58"/>
      <c r="W96" s="58"/>
      <c r="AQ96" s="57"/>
    </row>
    <row r="97" ht="15.75" customHeight="1">
      <c r="A97" s="57"/>
      <c r="B97" s="28"/>
      <c r="C97" s="57"/>
      <c r="D97" s="57"/>
      <c r="M97" s="58"/>
      <c r="P97" s="28"/>
      <c r="Q97" s="58"/>
      <c r="R97" s="58"/>
      <c r="S97" s="28"/>
      <c r="T97" s="58"/>
      <c r="U97" s="58"/>
      <c r="V97" s="58"/>
      <c r="W97" s="58"/>
      <c r="AQ97" s="57"/>
    </row>
    <row r="98" ht="15.75" customHeight="1">
      <c r="A98" s="57"/>
      <c r="B98" s="28"/>
      <c r="C98" s="57"/>
      <c r="D98" s="57"/>
      <c r="M98" s="58"/>
      <c r="P98" s="28"/>
      <c r="Q98" s="58"/>
      <c r="R98" s="58"/>
      <c r="S98" s="28"/>
      <c r="T98" s="58"/>
      <c r="U98" s="58"/>
      <c r="V98" s="58"/>
      <c r="W98" s="58"/>
      <c r="AQ98" s="57"/>
    </row>
    <row r="99" ht="15.75" customHeight="1">
      <c r="A99" s="57"/>
      <c r="B99" s="28"/>
      <c r="C99" s="57"/>
      <c r="D99" s="57"/>
      <c r="M99" s="58"/>
      <c r="P99" s="28"/>
      <c r="Q99" s="58"/>
      <c r="R99" s="58"/>
      <c r="S99" s="28"/>
      <c r="T99" s="58"/>
      <c r="U99" s="58"/>
      <c r="V99" s="58"/>
      <c r="W99" s="58"/>
      <c r="AQ99" s="57"/>
    </row>
    <row r="100" ht="15.75" customHeight="1">
      <c r="A100" s="57"/>
      <c r="B100" s="28"/>
      <c r="C100" s="57"/>
      <c r="D100" s="57"/>
      <c r="M100" s="58"/>
      <c r="P100" s="28"/>
      <c r="Q100" s="58"/>
      <c r="R100" s="58"/>
      <c r="S100" s="28"/>
      <c r="T100" s="58"/>
      <c r="U100" s="58"/>
      <c r="V100" s="58"/>
      <c r="W100" s="58"/>
      <c r="AQ100" s="57"/>
    </row>
    <row r="101" ht="15.75" customHeight="1">
      <c r="A101" s="57"/>
      <c r="B101" s="28"/>
      <c r="C101" s="57"/>
      <c r="D101" s="57"/>
      <c r="M101" s="58"/>
      <c r="P101" s="28"/>
      <c r="Q101" s="58"/>
      <c r="R101" s="58"/>
      <c r="S101" s="28"/>
      <c r="T101" s="58"/>
      <c r="U101" s="58"/>
      <c r="V101" s="58"/>
      <c r="W101" s="58"/>
      <c r="AQ101" s="57"/>
    </row>
    <row r="102" ht="15.75" customHeight="1">
      <c r="A102" s="57"/>
      <c r="B102" s="28"/>
      <c r="C102" s="57"/>
      <c r="D102" s="57"/>
      <c r="M102" s="58"/>
      <c r="P102" s="28"/>
      <c r="Q102" s="58"/>
      <c r="R102" s="58"/>
      <c r="S102" s="28"/>
      <c r="T102" s="58"/>
      <c r="U102" s="58"/>
      <c r="V102" s="58"/>
      <c r="W102" s="58"/>
      <c r="AQ102" s="57"/>
    </row>
    <row r="103" ht="15.75" customHeight="1">
      <c r="A103" s="57"/>
      <c r="B103" s="28"/>
      <c r="C103" s="57"/>
      <c r="D103" s="57"/>
      <c r="M103" s="58"/>
      <c r="P103" s="28"/>
      <c r="Q103" s="58"/>
      <c r="R103" s="58"/>
      <c r="S103" s="28"/>
      <c r="T103" s="58"/>
      <c r="U103" s="58"/>
      <c r="V103" s="58"/>
      <c r="W103" s="58"/>
      <c r="AQ103" s="57"/>
    </row>
    <row r="104" ht="15.75" customHeight="1">
      <c r="A104" s="57"/>
      <c r="B104" s="28"/>
      <c r="C104" s="57"/>
      <c r="D104" s="57"/>
      <c r="M104" s="58"/>
      <c r="P104" s="28"/>
      <c r="Q104" s="58"/>
      <c r="R104" s="58"/>
      <c r="S104" s="28"/>
      <c r="T104" s="58"/>
      <c r="U104" s="58"/>
      <c r="V104" s="58"/>
      <c r="W104" s="58"/>
      <c r="AQ104" s="57"/>
    </row>
    <row r="105" ht="15.75" customHeight="1">
      <c r="A105" s="57"/>
      <c r="B105" s="28"/>
      <c r="C105" s="57"/>
      <c r="D105" s="57"/>
      <c r="M105" s="58"/>
      <c r="P105" s="28"/>
      <c r="Q105" s="58"/>
      <c r="R105" s="58"/>
      <c r="S105" s="28"/>
      <c r="T105" s="58"/>
      <c r="U105" s="58"/>
      <c r="V105" s="58"/>
      <c r="W105" s="58"/>
      <c r="AQ105" s="57"/>
    </row>
    <row r="106" ht="15.75" customHeight="1">
      <c r="A106" s="57"/>
      <c r="B106" s="28"/>
      <c r="C106" s="57"/>
      <c r="D106" s="57"/>
      <c r="M106" s="58"/>
      <c r="P106" s="28"/>
      <c r="Q106" s="58"/>
      <c r="R106" s="58"/>
      <c r="S106" s="28"/>
      <c r="T106" s="58"/>
      <c r="U106" s="58"/>
      <c r="V106" s="58"/>
      <c r="W106" s="58"/>
      <c r="AQ106" s="57"/>
    </row>
    <row r="107" ht="15.75" customHeight="1">
      <c r="A107" s="57"/>
      <c r="B107" s="28"/>
      <c r="C107" s="57"/>
      <c r="D107" s="57"/>
      <c r="M107" s="58"/>
      <c r="P107" s="28"/>
      <c r="Q107" s="58"/>
      <c r="R107" s="58"/>
      <c r="S107" s="28"/>
      <c r="T107" s="58"/>
      <c r="U107" s="58"/>
      <c r="V107" s="58"/>
      <c r="W107" s="58"/>
      <c r="AQ107" s="57"/>
    </row>
    <row r="108" ht="15.75" customHeight="1">
      <c r="A108" s="57"/>
      <c r="B108" s="28"/>
      <c r="C108" s="57"/>
      <c r="D108" s="57"/>
      <c r="M108" s="58"/>
      <c r="P108" s="28"/>
      <c r="Q108" s="58"/>
      <c r="R108" s="58"/>
      <c r="S108" s="28"/>
      <c r="T108" s="58"/>
      <c r="U108" s="58"/>
      <c r="V108" s="58"/>
      <c r="W108" s="58"/>
      <c r="AQ108" s="57"/>
    </row>
    <row r="109" ht="15.75" customHeight="1">
      <c r="A109" s="57"/>
      <c r="B109" s="28"/>
      <c r="C109" s="57"/>
      <c r="D109" s="57"/>
      <c r="M109" s="58"/>
      <c r="P109" s="28"/>
      <c r="Q109" s="58"/>
      <c r="R109" s="58"/>
      <c r="S109" s="28"/>
      <c r="T109" s="58"/>
      <c r="U109" s="58"/>
      <c r="V109" s="58"/>
      <c r="W109" s="58"/>
      <c r="AQ109" s="57"/>
    </row>
    <row r="110" ht="15.75" customHeight="1">
      <c r="A110" s="57"/>
      <c r="B110" s="28"/>
      <c r="C110" s="57"/>
      <c r="D110" s="57"/>
      <c r="M110" s="58"/>
      <c r="P110" s="28"/>
      <c r="Q110" s="58"/>
      <c r="R110" s="58"/>
      <c r="S110" s="28"/>
      <c r="T110" s="58"/>
      <c r="U110" s="58"/>
      <c r="V110" s="58"/>
      <c r="W110" s="58"/>
      <c r="AQ110" s="57"/>
    </row>
    <row r="111" ht="15.75" customHeight="1">
      <c r="A111" s="57"/>
      <c r="B111" s="28"/>
      <c r="C111" s="57"/>
      <c r="D111" s="57"/>
      <c r="M111" s="58"/>
      <c r="P111" s="28"/>
      <c r="Q111" s="58"/>
      <c r="R111" s="58"/>
      <c r="S111" s="28"/>
      <c r="T111" s="58"/>
      <c r="U111" s="58"/>
      <c r="V111" s="58"/>
      <c r="W111" s="58"/>
      <c r="AQ111" s="57"/>
    </row>
    <row r="112" ht="15.75" customHeight="1">
      <c r="A112" s="57"/>
      <c r="B112" s="28"/>
      <c r="C112" s="57"/>
      <c r="D112" s="57"/>
      <c r="M112" s="58"/>
      <c r="P112" s="28"/>
      <c r="Q112" s="58"/>
      <c r="R112" s="58"/>
      <c r="S112" s="28"/>
      <c r="T112" s="58"/>
      <c r="U112" s="58"/>
      <c r="V112" s="58"/>
      <c r="W112" s="58"/>
      <c r="AQ112" s="57"/>
    </row>
    <row r="113" ht="15.75" customHeight="1">
      <c r="A113" s="57"/>
      <c r="B113" s="28"/>
      <c r="C113" s="57"/>
      <c r="D113" s="57"/>
      <c r="M113" s="58"/>
      <c r="P113" s="28"/>
      <c r="Q113" s="58"/>
      <c r="R113" s="58"/>
      <c r="S113" s="28"/>
      <c r="T113" s="58"/>
      <c r="U113" s="58"/>
      <c r="V113" s="58"/>
      <c r="W113" s="58"/>
      <c r="AQ113" s="57"/>
    </row>
    <row r="114" ht="15.75" customHeight="1">
      <c r="A114" s="57"/>
      <c r="B114" s="28"/>
      <c r="C114" s="57"/>
      <c r="D114" s="57"/>
      <c r="M114" s="58"/>
      <c r="P114" s="28"/>
      <c r="Q114" s="58"/>
      <c r="R114" s="58"/>
      <c r="S114" s="28"/>
      <c r="T114" s="58"/>
      <c r="U114" s="58"/>
      <c r="V114" s="58"/>
      <c r="W114" s="58"/>
      <c r="AQ114" s="57"/>
    </row>
    <row r="115" ht="15.75" customHeight="1">
      <c r="A115" s="57"/>
      <c r="B115" s="28"/>
      <c r="C115" s="57"/>
      <c r="D115" s="57"/>
      <c r="M115" s="58"/>
      <c r="P115" s="28"/>
      <c r="Q115" s="58"/>
      <c r="R115" s="58"/>
      <c r="S115" s="28"/>
      <c r="T115" s="58"/>
      <c r="U115" s="58"/>
      <c r="V115" s="58"/>
      <c r="W115" s="58"/>
      <c r="AQ115" s="57"/>
    </row>
    <row r="116" ht="15.75" customHeight="1">
      <c r="A116" s="57"/>
      <c r="B116" s="28"/>
      <c r="C116" s="57"/>
      <c r="D116" s="57"/>
      <c r="M116" s="58"/>
      <c r="P116" s="28"/>
      <c r="Q116" s="58"/>
      <c r="R116" s="58"/>
      <c r="S116" s="28"/>
      <c r="T116" s="58"/>
      <c r="U116" s="58"/>
      <c r="V116" s="58"/>
      <c r="W116" s="58"/>
      <c r="AQ116" s="57"/>
    </row>
    <row r="117" ht="15.75" customHeight="1">
      <c r="A117" s="57"/>
      <c r="B117" s="28"/>
      <c r="C117" s="57"/>
      <c r="D117" s="57"/>
      <c r="M117" s="58"/>
      <c r="P117" s="28"/>
      <c r="Q117" s="58"/>
      <c r="R117" s="58"/>
      <c r="S117" s="28"/>
      <c r="T117" s="58"/>
      <c r="U117" s="58"/>
      <c r="V117" s="58"/>
      <c r="W117" s="58"/>
      <c r="AQ117" s="57"/>
    </row>
    <row r="118" ht="15.75" customHeight="1">
      <c r="A118" s="57"/>
      <c r="B118" s="28"/>
      <c r="C118" s="57"/>
      <c r="D118" s="57"/>
      <c r="M118" s="58"/>
      <c r="P118" s="28"/>
      <c r="Q118" s="58"/>
      <c r="R118" s="58"/>
      <c r="S118" s="28"/>
      <c r="T118" s="58"/>
      <c r="U118" s="58"/>
      <c r="V118" s="58"/>
      <c r="W118" s="58"/>
      <c r="AQ118" s="57"/>
    </row>
    <row r="119" ht="15.75" customHeight="1">
      <c r="A119" s="57"/>
      <c r="B119" s="28"/>
      <c r="C119" s="57"/>
      <c r="D119" s="57"/>
      <c r="M119" s="58"/>
      <c r="P119" s="28"/>
      <c r="Q119" s="58"/>
      <c r="R119" s="58"/>
      <c r="S119" s="28"/>
      <c r="T119" s="58"/>
      <c r="U119" s="58"/>
      <c r="V119" s="58"/>
      <c r="W119" s="58"/>
      <c r="AQ119" s="57"/>
    </row>
    <row r="120" ht="15.75" customHeight="1">
      <c r="A120" s="57"/>
      <c r="B120" s="28"/>
      <c r="C120" s="57"/>
      <c r="D120" s="57"/>
      <c r="M120" s="58"/>
      <c r="P120" s="28"/>
      <c r="Q120" s="58"/>
      <c r="R120" s="58"/>
      <c r="S120" s="28"/>
      <c r="T120" s="58"/>
      <c r="U120" s="58"/>
      <c r="V120" s="58"/>
      <c r="W120" s="58"/>
      <c r="AQ120" s="57"/>
    </row>
    <row r="121" ht="15.75" customHeight="1">
      <c r="A121" s="57"/>
      <c r="B121" s="28"/>
      <c r="C121" s="57"/>
      <c r="D121" s="57"/>
      <c r="M121" s="58"/>
      <c r="P121" s="28"/>
      <c r="Q121" s="58"/>
      <c r="R121" s="58"/>
      <c r="S121" s="28"/>
      <c r="T121" s="58"/>
      <c r="U121" s="58"/>
      <c r="V121" s="58"/>
      <c r="W121" s="58"/>
      <c r="AQ121" s="57"/>
    </row>
    <row r="122" ht="15.75" customHeight="1">
      <c r="A122" s="57"/>
      <c r="B122" s="28"/>
      <c r="C122" s="57"/>
      <c r="D122" s="57"/>
      <c r="M122" s="58"/>
      <c r="P122" s="28"/>
      <c r="Q122" s="58"/>
      <c r="R122" s="58"/>
      <c r="S122" s="28"/>
      <c r="T122" s="58"/>
      <c r="U122" s="58"/>
      <c r="V122" s="58"/>
      <c r="W122" s="58"/>
      <c r="AQ122" s="57"/>
    </row>
    <row r="123" ht="15.75" customHeight="1">
      <c r="A123" s="57"/>
      <c r="B123" s="28"/>
      <c r="C123" s="57"/>
      <c r="D123" s="57"/>
      <c r="M123" s="58"/>
      <c r="P123" s="28"/>
      <c r="Q123" s="58"/>
      <c r="R123" s="58"/>
      <c r="S123" s="28"/>
      <c r="T123" s="58"/>
      <c r="U123" s="58"/>
      <c r="V123" s="58"/>
      <c r="W123" s="58"/>
      <c r="AQ123" s="57"/>
    </row>
    <row r="124" ht="15.75" customHeight="1">
      <c r="A124" s="57"/>
      <c r="B124" s="28"/>
      <c r="C124" s="57"/>
      <c r="D124" s="57"/>
      <c r="M124" s="58"/>
      <c r="P124" s="28"/>
      <c r="Q124" s="58"/>
      <c r="R124" s="58"/>
      <c r="S124" s="28"/>
      <c r="T124" s="58"/>
      <c r="U124" s="58"/>
      <c r="V124" s="58"/>
      <c r="W124" s="58"/>
      <c r="AQ124" s="57"/>
    </row>
    <row r="125" ht="15.75" customHeight="1">
      <c r="A125" s="57"/>
      <c r="B125" s="28"/>
      <c r="C125" s="57"/>
      <c r="D125" s="57"/>
      <c r="M125" s="58"/>
      <c r="P125" s="28"/>
      <c r="Q125" s="58"/>
      <c r="R125" s="58"/>
      <c r="S125" s="28"/>
      <c r="T125" s="58"/>
      <c r="U125" s="58"/>
      <c r="V125" s="58"/>
      <c r="W125" s="58"/>
      <c r="AQ125" s="57"/>
    </row>
    <row r="126" ht="15.75" customHeight="1">
      <c r="A126" s="57"/>
      <c r="B126" s="28"/>
      <c r="C126" s="57"/>
      <c r="D126" s="57"/>
      <c r="M126" s="58"/>
      <c r="P126" s="28"/>
      <c r="Q126" s="58"/>
      <c r="R126" s="58"/>
      <c r="S126" s="28"/>
      <c r="T126" s="58"/>
      <c r="U126" s="58"/>
      <c r="V126" s="58"/>
      <c r="W126" s="58"/>
      <c r="AQ126" s="57"/>
    </row>
    <row r="127" ht="15.75" customHeight="1">
      <c r="A127" s="57"/>
      <c r="B127" s="28"/>
      <c r="C127" s="57"/>
      <c r="D127" s="57"/>
      <c r="M127" s="58"/>
      <c r="P127" s="28"/>
      <c r="Q127" s="58"/>
      <c r="R127" s="58"/>
      <c r="S127" s="28"/>
      <c r="T127" s="58"/>
      <c r="U127" s="58"/>
      <c r="V127" s="58"/>
      <c r="W127" s="58"/>
      <c r="AQ127" s="57"/>
    </row>
    <row r="128" ht="15.75" customHeight="1">
      <c r="A128" s="57"/>
      <c r="B128" s="28"/>
      <c r="C128" s="57"/>
      <c r="D128" s="57"/>
      <c r="M128" s="58"/>
      <c r="P128" s="28"/>
      <c r="Q128" s="58"/>
      <c r="R128" s="58"/>
      <c r="S128" s="28"/>
      <c r="T128" s="58"/>
      <c r="U128" s="58"/>
      <c r="V128" s="58"/>
      <c r="W128" s="58"/>
      <c r="AQ128" s="57"/>
    </row>
    <row r="129" ht="15.75" customHeight="1">
      <c r="A129" s="57"/>
      <c r="B129" s="28"/>
      <c r="C129" s="57"/>
      <c r="D129" s="57"/>
      <c r="M129" s="58"/>
      <c r="P129" s="28"/>
      <c r="Q129" s="58"/>
      <c r="R129" s="58"/>
      <c r="S129" s="28"/>
      <c r="T129" s="58"/>
      <c r="U129" s="58"/>
      <c r="V129" s="58"/>
      <c r="W129" s="58"/>
      <c r="AQ129" s="57"/>
    </row>
    <row r="130" ht="15.75" customHeight="1">
      <c r="A130" s="57"/>
      <c r="B130" s="28"/>
      <c r="C130" s="57"/>
      <c r="D130" s="57"/>
      <c r="M130" s="58"/>
      <c r="P130" s="28"/>
      <c r="Q130" s="58"/>
      <c r="R130" s="58"/>
      <c r="S130" s="28"/>
      <c r="T130" s="58"/>
      <c r="U130" s="58"/>
      <c r="V130" s="58"/>
      <c r="W130" s="58"/>
      <c r="AQ130" s="57"/>
    </row>
    <row r="131" ht="15.75" customHeight="1">
      <c r="A131" s="57"/>
      <c r="B131" s="28"/>
      <c r="C131" s="57"/>
      <c r="D131" s="57"/>
      <c r="M131" s="58"/>
      <c r="P131" s="28"/>
      <c r="Q131" s="58"/>
      <c r="R131" s="58"/>
      <c r="S131" s="28"/>
      <c r="T131" s="58"/>
      <c r="U131" s="58"/>
      <c r="V131" s="58"/>
      <c r="W131" s="58"/>
      <c r="AQ131" s="57"/>
    </row>
    <row r="132" ht="15.75" customHeight="1">
      <c r="A132" s="57"/>
      <c r="B132" s="28"/>
      <c r="C132" s="57"/>
      <c r="D132" s="57"/>
      <c r="M132" s="58"/>
      <c r="P132" s="28"/>
      <c r="Q132" s="58"/>
      <c r="R132" s="58"/>
      <c r="S132" s="28"/>
      <c r="T132" s="58"/>
      <c r="U132" s="58"/>
      <c r="V132" s="58"/>
      <c r="W132" s="58"/>
      <c r="AQ132" s="57"/>
    </row>
    <row r="133" ht="15.75" customHeight="1">
      <c r="A133" s="57"/>
      <c r="B133" s="28"/>
      <c r="C133" s="57"/>
      <c r="D133" s="57"/>
      <c r="M133" s="58"/>
      <c r="P133" s="28"/>
      <c r="Q133" s="58"/>
      <c r="R133" s="58"/>
      <c r="S133" s="28"/>
      <c r="T133" s="58"/>
      <c r="U133" s="58"/>
      <c r="V133" s="58"/>
      <c r="W133" s="58"/>
      <c r="AQ133" s="57"/>
    </row>
    <row r="134" ht="15.75" customHeight="1">
      <c r="A134" s="57"/>
      <c r="B134" s="28"/>
      <c r="C134" s="57"/>
      <c r="D134" s="57"/>
      <c r="M134" s="58"/>
      <c r="P134" s="28"/>
      <c r="Q134" s="58"/>
      <c r="R134" s="58"/>
      <c r="S134" s="28"/>
      <c r="T134" s="58"/>
      <c r="U134" s="58"/>
      <c r="V134" s="58"/>
      <c r="W134" s="58"/>
      <c r="AQ134" s="57"/>
    </row>
    <row r="135" ht="15.75" customHeight="1">
      <c r="A135" s="57"/>
      <c r="B135" s="28"/>
      <c r="C135" s="57"/>
      <c r="D135" s="57"/>
      <c r="M135" s="58"/>
      <c r="P135" s="28"/>
      <c r="Q135" s="58"/>
      <c r="R135" s="58"/>
      <c r="S135" s="28"/>
      <c r="T135" s="58"/>
      <c r="U135" s="58"/>
      <c r="V135" s="58"/>
      <c r="W135" s="58"/>
      <c r="AQ135" s="57"/>
    </row>
    <row r="136" ht="15.75" customHeight="1">
      <c r="A136" s="57"/>
      <c r="B136" s="28"/>
      <c r="C136" s="57"/>
      <c r="D136" s="57"/>
      <c r="M136" s="58"/>
      <c r="P136" s="28"/>
      <c r="Q136" s="58"/>
      <c r="R136" s="58"/>
      <c r="S136" s="28"/>
      <c r="T136" s="58"/>
      <c r="U136" s="58"/>
      <c r="V136" s="58"/>
      <c r="W136" s="58"/>
      <c r="AQ136" s="57"/>
    </row>
    <row r="137" ht="15.75" customHeight="1">
      <c r="A137" s="57"/>
      <c r="B137" s="28"/>
      <c r="C137" s="57"/>
      <c r="D137" s="57"/>
      <c r="M137" s="58"/>
      <c r="P137" s="28"/>
      <c r="Q137" s="58"/>
      <c r="R137" s="58"/>
      <c r="S137" s="28"/>
      <c r="T137" s="58"/>
      <c r="U137" s="58"/>
      <c r="V137" s="58"/>
      <c r="W137" s="58"/>
      <c r="AQ137" s="57"/>
    </row>
    <row r="138" ht="15.75" customHeight="1">
      <c r="A138" s="57"/>
      <c r="B138" s="28"/>
      <c r="C138" s="57"/>
      <c r="D138" s="57"/>
      <c r="M138" s="58"/>
      <c r="P138" s="28"/>
      <c r="Q138" s="58"/>
      <c r="R138" s="58"/>
      <c r="S138" s="28"/>
      <c r="T138" s="58"/>
      <c r="U138" s="58"/>
      <c r="V138" s="58"/>
      <c r="W138" s="58"/>
      <c r="AQ138" s="57"/>
    </row>
    <row r="139" ht="15.75" customHeight="1">
      <c r="A139" s="57"/>
      <c r="B139" s="28"/>
      <c r="C139" s="57"/>
      <c r="D139" s="57"/>
      <c r="M139" s="58"/>
      <c r="P139" s="28"/>
      <c r="Q139" s="58"/>
      <c r="R139" s="58"/>
      <c r="S139" s="28"/>
      <c r="T139" s="58"/>
      <c r="U139" s="58"/>
      <c r="V139" s="58"/>
      <c r="W139" s="58"/>
      <c r="AQ139" s="57"/>
    </row>
    <row r="140" ht="15.75" customHeight="1">
      <c r="A140" s="57"/>
      <c r="B140" s="28"/>
      <c r="C140" s="57"/>
      <c r="D140" s="57"/>
      <c r="M140" s="58"/>
      <c r="P140" s="28"/>
      <c r="Q140" s="58"/>
      <c r="R140" s="58"/>
      <c r="S140" s="28"/>
      <c r="T140" s="58"/>
      <c r="U140" s="58"/>
      <c r="V140" s="58"/>
      <c r="W140" s="58"/>
      <c r="AQ140" s="57"/>
    </row>
    <row r="141" ht="15.75" customHeight="1">
      <c r="A141" s="57"/>
      <c r="B141" s="28"/>
      <c r="C141" s="57"/>
      <c r="D141" s="57"/>
      <c r="M141" s="58"/>
      <c r="P141" s="28"/>
      <c r="Q141" s="58"/>
      <c r="R141" s="58"/>
      <c r="S141" s="28"/>
      <c r="T141" s="58"/>
      <c r="U141" s="58"/>
      <c r="V141" s="58"/>
      <c r="W141" s="58"/>
      <c r="AQ141" s="57"/>
    </row>
    <row r="142" ht="15.75" customHeight="1">
      <c r="A142" s="57"/>
      <c r="B142" s="28"/>
      <c r="C142" s="57"/>
      <c r="D142" s="57"/>
      <c r="M142" s="58"/>
      <c r="P142" s="28"/>
      <c r="Q142" s="58"/>
      <c r="R142" s="58"/>
      <c r="S142" s="28"/>
      <c r="T142" s="58"/>
      <c r="U142" s="58"/>
      <c r="V142" s="58"/>
      <c r="W142" s="58"/>
      <c r="AQ142" s="57"/>
    </row>
    <row r="143" ht="15.75" customHeight="1">
      <c r="A143" s="57"/>
      <c r="B143" s="28"/>
      <c r="C143" s="57"/>
      <c r="D143" s="57"/>
      <c r="M143" s="58"/>
      <c r="P143" s="28"/>
      <c r="Q143" s="58"/>
      <c r="R143" s="58"/>
      <c r="S143" s="28"/>
      <c r="T143" s="58"/>
      <c r="U143" s="58"/>
      <c r="V143" s="58"/>
      <c r="W143" s="58"/>
      <c r="AQ143" s="57"/>
    </row>
    <row r="144" ht="15.75" customHeight="1">
      <c r="A144" s="57"/>
      <c r="B144" s="28"/>
      <c r="C144" s="57"/>
      <c r="D144" s="57"/>
      <c r="M144" s="58"/>
      <c r="P144" s="28"/>
      <c r="Q144" s="58"/>
      <c r="R144" s="58"/>
      <c r="S144" s="28"/>
      <c r="T144" s="58"/>
      <c r="U144" s="58"/>
      <c r="V144" s="58"/>
      <c r="W144" s="58"/>
      <c r="AQ144" s="57"/>
    </row>
    <row r="145" ht="15.75" customHeight="1">
      <c r="A145" s="57"/>
      <c r="B145" s="28"/>
      <c r="C145" s="57"/>
      <c r="D145" s="57"/>
      <c r="M145" s="58"/>
      <c r="P145" s="28"/>
      <c r="Q145" s="58"/>
      <c r="R145" s="58"/>
      <c r="S145" s="28"/>
      <c r="T145" s="58"/>
      <c r="U145" s="58"/>
      <c r="V145" s="58"/>
      <c r="W145" s="58"/>
      <c r="AQ145" s="57"/>
    </row>
    <row r="146" ht="15.75" customHeight="1">
      <c r="A146" s="57"/>
      <c r="B146" s="28"/>
      <c r="C146" s="57"/>
      <c r="D146" s="57"/>
      <c r="M146" s="58"/>
      <c r="P146" s="28"/>
      <c r="Q146" s="58"/>
      <c r="R146" s="58"/>
      <c r="S146" s="28"/>
      <c r="T146" s="58"/>
      <c r="U146" s="58"/>
      <c r="V146" s="58"/>
      <c r="W146" s="58"/>
      <c r="AQ146" s="57"/>
    </row>
    <row r="147" ht="15.75" customHeight="1">
      <c r="A147" s="57"/>
      <c r="B147" s="28"/>
      <c r="C147" s="57"/>
      <c r="D147" s="57"/>
      <c r="M147" s="58"/>
      <c r="P147" s="28"/>
      <c r="Q147" s="58"/>
      <c r="R147" s="58"/>
      <c r="S147" s="28"/>
      <c r="T147" s="58"/>
      <c r="U147" s="58"/>
      <c r="V147" s="58"/>
      <c r="W147" s="58"/>
      <c r="AQ147" s="57"/>
    </row>
    <row r="148" ht="15.75" customHeight="1">
      <c r="A148" s="57"/>
      <c r="B148" s="28"/>
      <c r="C148" s="57"/>
      <c r="D148" s="57"/>
      <c r="M148" s="58"/>
      <c r="P148" s="28"/>
      <c r="Q148" s="58"/>
      <c r="R148" s="58"/>
      <c r="S148" s="28"/>
      <c r="T148" s="58"/>
      <c r="U148" s="58"/>
      <c r="V148" s="58"/>
      <c r="W148" s="58"/>
      <c r="AQ148" s="57"/>
    </row>
    <row r="149" ht="15.75" customHeight="1">
      <c r="A149" s="57"/>
      <c r="B149" s="28"/>
      <c r="C149" s="57"/>
      <c r="D149" s="57"/>
      <c r="M149" s="58"/>
      <c r="P149" s="28"/>
      <c r="Q149" s="58"/>
      <c r="R149" s="58"/>
      <c r="S149" s="28"/>
      <c r="T149" s="58"/>
      <c r="U149" s="58"/>
      <c r="V149" s="58"/>
      <c r="W149" s="58"/>
      <c r="AQ149" s="57"/>
    </row>
    <row r="150" ht="15.75" customHeight="1">
      <c r="A150" s="57"/>
      <c r="B150" s="28"/>
      <c r="C150" s="57"/>
      <c r="D150" s="57"/>
      <c r="M150" s="58"/>
      <c r="P150" s="28"/>
      <c r="Q150" s="58"/>
      <c r="R150" s="58"/>
      <c r="S150" s="28"/>
      <c r="T150" s="58"/>
      <c r="U150" s="58"/>
      <c r="V150" s="58"/>
      <c r="W150" s="58"/>
      <c r="AQ150" s="57"/>
    </row>
    <row r="151" ht="15.75" customHeight="1">
      <c r="A151" s="57"/>
      <c r="B151" s="28"/>
      <c r="C151" s="57"/>
      <c r="D151" s="57"/>
      <c r="M151" s="58"/>
      <c r="P151" s="28"/>
      <c r="Q151" s="58"/>
      <c r="R151" s="58"/>
      <c r="S151" s="28"/>
      <c r="T151" s="58"/>
      <c r="U151" s="58"/>
      <c r="V151" s="58"/>
      <c r="W151" s="58"/>
      <c r="AQ151" s="57"/>
    </row>
    <row r="152" ht="15.75" customHeight="1">
      <c r="A152" s="57"/>
      <c r="B152" s="28"/>
      <c r="C152" s="57"/>
      <c r="D152" s="57"/>
      <c r="M152" s="58"/>
      <c r="P152" s="28"/>
      <c r="Q152" s="58"/>
      <c r="R152" s="58"/>
      <c r="S152" s="28"/>
      <c r="T152" s="58"/>
      <c r="U152" s="58"/>
      <c r="V152" s="58"/>
      <c r="W152" s="58"/>
      <c r="AQ152" s="57"/>
    </row>
    <row r="153" ht="15.75" customHeight="1">
      <c r="A153" s="57"/>
      <c r="B153" s="28"/>
      <c r="C153" s="57"/>
      <c r="D153" s="57"/>
      <c r="M153" s="58"/>
      <c r="P153" s="28"/>
      <c r="Q153" s="58"/>
      <c r="R153" s="58"/>
      <c r="S153" s="28"/>
      <c r="T153" s="58"/>
      <c r="U153" s="58"/>
      <c r="V153" s="58"/>
      <c r="W153" s="58"/>
      <c r="AQ153" s="57"/>
    </row>
    <row r="154" ht="15.75" customHeight="1">
      <c r="A154" s="57"/>
      <c r="B154" s="28"/>
      <c r="C154" s="57"/>
      <c r="D154" s="57"/>
      <c r="M154" s="58"/>
      <c r="P154" s="28"/>
      <c r="Q154" s="58"/>
      <c r="R154" s="58"/>
      <c r="S154" s="28"/>
      <c r="T154" s="58"/>
      <c r="U154" s="58"/>
      <c r="V154" s="58"/>
      <c r="W154" s="58"/>
      <c r="AQ154" s="57"/>
    </row>
    <row r="155" ht="15.75" customHeight="1">
      <c r="A155" s="57"/>
      <c r="B155" s="28"/>
      <c r="C155" s="57"/>
      <c r="D155" s="57"/>
      <c r="M155" s="58"/>
      <c r="P155" s="28"/>
      <c r="Q155" s="58"/>
      <c r="R155" s="58"/>
      <c r="S155" s="28"/>
      <c r="T155" s="58"/>
      <c r="U155" s="58"/>
      <c r="V155" s="58"/>
      <c r="W155" s="58"/>
      <c r="AQ155" s="57"/>
    </row>
    <row r="156" ht="15.75" customHeight="1">
      <c r="A156" s="57"/>
      <c r="B156" s="28"/>
      <c r="C156" s="57"/>
      <c r="D156" s="57"/>
      <c r="M156" s="58"/>
      <c r="P156" s="28"/>
      <c r="Q156" s="58"/>
      <c r="R156" s="58"/>
      <c r="S156" s="28"/>
      <c r="T156" s="58"/>
      <c r="U156" s="58"/>
      <c r="V156" s="58"/>
      <c r="W156" s="58"/>
      <c r="AQ156" s="57"/>
    </row>
    <row r="157" ht="15.75" customHeight="1">
      <c r="A157" s="57"/>
      <c r="B157" s="28"/>
      <c r="C157" s="57"/>
      <c r="D157" s="57"/>
      <c r="M157" s="58"/>
      <c r="P157" s="28"/>
      <c r="Q157" s="58"/>
      <c r="R157" s="58"/>
      <c r="S157" s="28"/>
      <c r="T157" s="58"/>
      <c r="U157" s="58"/>
      <c r="V157" s="58"/>
      <c r="W157" s="58"/>
      <c r="AQ157" s="57"/>
    </row>
    <row r="158" ht="15.75" customHeight="1">
      <c r="A158" s="57"/>
      <c r="B158" s="28"/>
      <c r="C158" s="57"/>
      <c r="D158" s="57"/>
      <c r="M158" s="58"/>
      <c r="P158" s="28"/>
      <c r="Q158" s="58"/>
      <c r="R158" s="58"/>
      <c r="S158" s="28"/>
      <c r="T158" s="58"/>
      <c r="U158" s="58"/>
      <c r="V158" s="58"/>
      <c r="W158" s="58"/>
      <c r="AQ158" s="57"/>
    </row>
    <row r="159" ht="15.75" customHeight="1">
      <c r="A159" s="57"/>
      <c r="B159" s="28"/>
      <c r="C159" s="57"/>
      <c r="D159" s="57"/>
      <c r="M159" s="58"/>
      <c r="P159" s="28"/>
      <c r="Q159" s="58"/>
      <c r="R159" s="58"/>
      <c r="S159" s="28"/>
      <c r="T159" s="58"/>
      <c r="U159" s="58"/>
      <c r="V159" s="58"/>
      <c r="W159" s="58"/>
      <c r="AQ159" s="57"/>
    </row>
    <row r="160" ht="15.75" customHeight="1">
      <c r="A160" s="57"/>
      <c r="B160" s="28"/>
      <c r="C160" s="57"/>
      <c r="D160" s="57"/>
      <c r="M160" s="58"/>
      <c r="P160" s="28"/>
      <c r="Q160" s="58"/>
      <c r="R160" s="58"/>
      <c r="S160" s="28"/>
      <c r="T160" s="58"/>
      <c r="U160" s="58"/>
      <c r="V160" s="58"/>
      <c r="W160" s="58"/>
      <c r="AQ160" s="57"/>
    </row>
    <row r="161" ht="15.75" customHeight="1">
      <c r="A161" s="57"/>
      <c r="B161" s="28"/>
      <c r="C161" s="57"/>
      <c r="D161" s="57"/>
      <c r="M161" s="58"/>
      <c r="P161" s="28"/>
      <c r="Q161" s="58"/>
      <c r="R161" s="58"/>
      <c r="S161" s="28"/>
      <c r="T161" s="58"/>
      <c r="U161" s="58"/>
      <c r="V161" s="58"/>
      <c r="W161" s="58"/>
      <c r="AQ161" s="57"/>
    </row>
    <row r="162" ht="15.75" customHeight="1">
      <c r="A162" s="57"/>
      <c r="B162" s="28"/>
      <c r="C162" s="57"/>
      <c r="D162" s="57"/>
      <c r="M162" s="58"/>
      <c r="P162" s="28"/>
      <c r="Q162" s="58"/>
      <c r="R162" s="58"/>
      <c r="S162" s="28"/>
      <c r="T162" s="58"/>
      <c r="U162" s="58"/>
      <c r="V162" s="58"/>
      <c r="W162" s="58"/>
      <c r="AQ162" s="57"/>
    </row>
    <row r="163" ht="15.75" customHeight="1">
      <c r="A163" s="57"/>
      <c r="B163" s="28"/>
      <c r="C163" s="57"/>
      <c r="D163" s="57"/>
      <c r="M163" s="58"/>
      <c r="P163" s="28"/>
      <c r="Q163" s="58"/>
      <c r="R163" s="58"/>
      <c r="S163" s="28"/>
      <c r="T163" s="58"/>
      <c r="U163" s="58"/>
      <c r="V163" s="58"/>
      <c r="W163" s="58"/>
      <c r="AQ163" s="57"/>
    </row>
    <row r="164" ht="15.75" customHeight="1">
      <c r="A164" s="57"/>
      <c r="B164" s="28"/>
      <c r="C164" s="57"/>
      <c r="D164" s="57"/>
      <c r="M164" s="58"/>
      <c r="P164" s="28"/>
      <c r="Q164" s="58"/>
      <c r="R164" s="58"/>
      <c r="S164" s="28"/>
      <c r="T164" s="58"/>
      <c r="U164" s="58"/>
      <c r="V164" s="58"/>
      <c r="W164" s="58"/>
      <c r="AQ164" s="57"/>
    </row>
    <row r="165" ht="15.75" customHeight="1">
      <c r="A165" s="57"/>
      <c r="B165" s="28"/>
      <c r="C165" s="57"/>
      <c r="D165" s="57"/>
      <c r="M165" s="58"/>
      <c r="P165" s="28"/>
      <c r="Q165" s="58"/>
      <c r="R165" s="58"/>
      <c r="S165" s="28"/>
      <c r="T165" s="58"/>
      <c r="U165" s="58"/>
      <c r="V165" s="58"/>
      <c r="W165" s="58"/>
      <c r="AQ165" s="57"/>
    </row>
    <row r="166" ht="15.75" customHeight="1">
      <c r="A166" s="57"/>
      <c r="B166" s="28"/>
      <c r="C166" s="57"/>
      <c r="D166" s="57"/>
      <c r="M166" s="58"/>
      <c r="P166" s="28"/>
      <c r="Q166" s="58"/>
      <c r="R166" s="58"/>
      <c r="S166" s="28"/>
      <c r="T166" s="58"/>
      <c r="U166" s="58"/>
      <c r="V166" s="58"/>
      <c r="W166" s="58"/>
      <c r="AQ166" s="57"/>
    </row>
    <row r="167" ht="15.75" customHeight="1">
      <c r="A167" s="57"/>
      <c r="B167" s="28"/>
      <c r="C167" s="57"/>
      <c r="D167" s="57"/>
      <c r="M167" s="58"/>
      <c r="P167" s="28"/>
      <c r="Q167" s="58"/>
      <c r="R167" s="58"/>
      <c r="S167" s="28"/>
      <c r="T167" s="58"/>
      <c r="U167" s="58"/>
      <c r="V167" s="58"/>
      <c r="W167" s="58"/>
      <c r="AQ167" s="57"/>
    </row>
    <row r="168" ht="15.75" customHeight="1">
      <c r="A168" s="57"/>
      <c r="B168" s="28"/>
      <c r="C168" s="57"/>
      <c r="D168" s="57"/>
      <c r="M168" s="58"/>
      <c r="P168" s="28"/>
      <c r="Q168" s="58"/>
      <c r="R168" s="58"/>
      <c r="S168" s="28"/>
      <c r="T168" s="58"/>
      <c r="U168" s="58"/>
      <c r="V168" s="58"/>
      <c r="W168" s="58"/>
      <c r="AQ168" s="57"/>
    </row>
    <row r="169" ht="15.75" customHeight="1">
      <c r="A169" s="57"/>
      <c r="B169" s="28"/>
      <c r="C169" s="57"/>
      <c r="D169" s="57"/>
      <c r="M169" s="58"/>
      <c r="P169" s="28"/>
      <c r="Q169" s="58"/>
      <c r="R169" s="58"/>
      <c r="S169" s="28"/>
      <c r="T169" s="58"/>
      <c r="U169" s="58"/>
      <c r="V169" s="58"/>
      <c r="W169" s="58"/>
      <c r="AQ169" s="57"/>
    </row>
    <row r="170" ht="15.75" customHeight="1">
      <c r="A170" s="57"/>
      <c r="B170" s="28"/>
      <c r="C170" s="57"/>
      <c r="D170" s="57"/>
      <c r="M170" s="58"/>
      <c r="P170" s="28"/>
      <c r="Q170" s="58"/>
      <c r="R170" s="58"/>
      <c r="S170" s="28"/>
      <c r="T170" s="58"/>
      <c r="U170" s="58"/>
      <c r="V170" s="58"/>
      <c r="W170" s="58"/>
      <c r="AQ170" s="57"/>
    </row>
    <row r="171" ht="15.75" customHeight="1">
      <c r="A171" s="57"/>
      <c r="B171" s="28"/>
      <c r="C171" s="57"/>
      <c r="D171" s="57"/>
      <c r="M171" s="58"/>
      <c r="P171" s="28"/>
      <c r="Q171" s="58"/>
      <c r="R171" s="58"/>
      <c r="S171" s="28"/>
      <c r="T171" s="58"/>
      <c r="U171" s="58"/>
      <c r="V171" s="58"/>
      <c r="W171" s="58"/>
      <c r="AQ171" s="57"/>
    </row>
    <row r="172" ht="15.75" customHeight="1">
      <c r="A172" s="57"/>
      <c r="B172" s="28"/>
      <c r="C172" s="57"/>
      <c r="D172" s="57"/>
      <c r="M172" s="58"/>
      <c r="P172" s="28"/>
      <c r="Q172" s="58"/>
      <c r="R172" s="58"/>
      <c r="S172" s="28"/>
      <c r="T172" s="58"/>
      <c r="U172" s="58"/>
      <c r="V172" s="58"/>
      <c r="W172" s="58"/>
      <c r="AQ172" s="57"/>
    </row>
    <row r="173" ht="15.75" customHeight="1">
      <c r="A173" s="57"/>
      <c r="B173" s="28"/>
      <c r="C173" s="57"/>
      <c r="D173" s="57"/>
      <c r="M173" s="58"/>
      <c r="P173" s="28"/>
      <c r="Q173" s="58"/>
      <c r="R173" s="58"/>
      <c r="S173" s="28"/>
      <c r="T173" s="58"/>
      <c r="U173" s="58"/>
      <c r="V173" s="58"/>
      <c r="W173" s="58"/>
      <c r="AQ173" s="57"/>
    </row>
    <row r="174" ht="15.75" customHeight="1">
      <c r="A174" s="57"/>
      <c r="B174" s="28"/>
      <c r="C174" s="57"/>
      <c r="D174" s="57"/>
      <c r="M174" s="58"/>
      <c r="P174" s="28"/>
      <c r="Q174" s="58"/>
      <c r="R174" s="58"/>
      <c r="S174" s="28"/>
      <c r="T174" s="58"/>
      <c r="U174" s="58"/>
      <c r="V174" s="58"/>
      <c r="W174" s="58"/>
      <c r="AQ174" s="57"/>
    </row>
    <row r="175" ht="15.75" customHeight="1">
      <c r="A175" s="57"/>
      <c r="B175" s="28"/>
      <c r="C175" s="57"/>
      <c r="D175" s="57"/>
      <c r="M175" s="58"/>
      <c r="P175" s="28"/>
      <c r="Q175" s="58"/>
      <c r="R175" s="58"/>
      <c r="S175" s="28"/>
      <c r="T175" s="58"/>
      <c r="U175" s="58"/>
      <c r="V175" s="58"/>
      <c r="W175" s="58"/>
      <c r="AQ175" s="57"/>
    </row>
    <row r="176" ht="15.75" customHeight="1">
      <c r="A176" s="57"/>
      <c r="B176" s="28"/>
      <c r="C176" s="57"/>
      <c r="D176" s="57"/>
      <c r="M176" s="58"/>
      <c r="P176" s="28"/>
      <c r="Q176" s="58"/>
      <c r="R176" s="58"/>
      <c r="S176" s="28"/>
      <c r="T176" s="58"/>
      <c r="U176" s="58"/>
      <c r="V176" s="58"/>
      <c r="W176" s="58"/>
      <c r="AQ176" s="57"/>
    </row>
    <row r="177" ht="15.75" customHeight="1">
      <c r="A177" s="57"/>
      <c r="B177" s="28"/>
      <c r="C177" s="57"/>
      <c r="D177" s="57"/>
      <c r="M177" s="58"/>
      <c r="P177" s="28"/>
      <c r="Q177" s="58"/>
      <c r="R177" s="58"/>
      <c r="S177" s="28"/>
      <c r="T177" s="58"/>
      <c r="U177" s="58"/>
      <c r="V177" s="58"/>
      <c r="W177" s="58"/>
      <c r="AQ177" s="57"/>
    </row>
    <row r="178" ht="15.75" customHeight="1">
      <c r="A178" s="57"/>
      <c r="B178" s="28"/>
      <c r="C178" s="57"/>
      <c r="D178" s="57"/>
      <c r="M178" s="58"/>
      <c r="P178" s="28"/>
      <c r="Q178" s="58"/>
      <c r="R178" s="58"/>
      <c r="S178" s="28"/>
      <c r="T178" s="58"/>
      <c r="U178" s="58"/>
      <c r="V178" s="58"/>
      <c r="W178" s="58"/>
      <c r="AQ178" s="57"/>
    </row>
    <row r="179" ht="15.75" customHeight="1">
      <c r="A179" s="57"/>
      <c r="B179" s="28"/>
      <c r="C179" s="57"/>
      <c r="D179" s="57"/>
      <c r="M179" s="58"/>
      <c r="P179" s="28"/>
      <c r="Q179" s="58"/>
      <c r="R179" s="58"/>
      <c r="S179" s="28"/>
      <c r="T179" s="58"/>
      <c r="U179" s="58"/>
      <c r="V179" s="58"/>
      <c r="W179" s="58"/>
      <c r="AQ179" s="57"/>
    </row>
    <row r="180" ht="15.75" customHeight="1">
      <c r="A180" s="57"/>
      <c r="B180" s="28"/>
      <c r="C180" s="57"/>
      <c r="D180" s="57"/>
      <c r="M180" s="58"/>
      <c r="P180" s="28"/>
      <c r="Q180" s="58"/>
      <c r="R180" s="58"/>
      <c r="S180" s="28"/>
      <c r="T180" s="58"/>
      <c r="U180" s="58"/>
      <c r="V180" s="58"/>
      <c r="W180" s="58"/>
      <c r="AQ180" s="57"/>
    </row>
    <row r="181" ht="15.75" customHeight="1">
      <c r="A181" s="57"/>
      <c r="B181" s="28"/>
      <c r="C181" s="57"/>
      <c r="D181" s="57"/>
      <c r="M181" s="58"/>
      <c r="P181" s="28"/>
      <c r="Q181" s="58"/>
      <c r="R181" s="58"/>
      <c r="S181" s="28"/>
      <c r="T181" s="58"/>
      <c r="U181" s="58"/>
      <c r="V181" s="58"/>
      <c r="W181" s="58"/>
      <c r="AQ181" s="57"/>
    </row>
    <row r="182" ht="15.75" customHeight="1">
      <c r="A182" s="57"/>
      <c r="B182" s="28"/>
      <c r="C182" s="57"/>
      <c r="D182" s="57"/>
      <c r="M182" s="58"/>
      <c r="P182" s="28"/>
      <c r="Q182" s="58"/>
      <c r="R182" s="58"/>
      <c r="S182" s="28"/>
      <c r="T182" s="58"/>
      <c r="U182" s="58"/>
      <c r="V182" s="58"/>
      <c r="W182" s="58"/>
      <c r="AQ182" s="57"/>
    </row>
    <row r="183" ht="15.75" customHeight="1">
      <c r="A183" s="57"/>
      <c r="B183" s="28"/>
      <c r="C183" s="57"/>
      <c r="D183" s="57"/>
      <c r="M183" s="58"/>
      <c r="P183" s="28"/>
      <c r="Q183" s="58"/>
      <c r="R183" s="58"/>
      <c r="S183" s="28"/>
      <c r="T183" s="58"/>
      <c r="U183" s="58"/>
      <c r="V183" s="58"/>
      <c r="W183" s="58"/>
      <c r="AQ183" s="57"/>
    </row>
    <row r="184" ht="15.75" customHeight="1">
      <c r="A184" s="57"/>
      <c r="B184" s="28"/>
      <c r="C184" s="57"/>
      <c r="D184" s="57"/>
      <c r="M184" s="58"/>
      <c r="P184" s="28"/>
      <c r="Q184" s="58"/>
      <c r="R184" s="58"/>
      <c r="S184" s="28"/>
      <c r="T184" s="58"/>
      <c r="U184" s="58"/>
      <c r="V184" s="58"/>
      <c r="W184" s="58"/>
      <c r="AQ184" s="57"/>
    </row>
    <row r="185" ht="15.75" customHeight="1">
      <c r="A185" s="57"/>
      <c r="B185" s="28"/>
      <c r="C185" s="57"/>
      <c r="D185" s="57"/>
      <c r="M185" s="58"/>
      <c r="P185" s="28"/>
      <c r="Q185" s="58"/>
      <c r="R185" s="58"/>
      <c r="S185" s="28"/>
      <c r="T185" s="58"/>
      <c r="U185" s="58"/>
      <c r="V185" s="58"/>
      <c r="W185" s="58"/>
      <c r="AQ185" s="57"/>
    </row>
    <row r="186" ht="15.75" customHeight="1">
      <c r="A186" s="57"/>
      <c r="B186" s="28"/>
      <c r="C186" s="57"/>
      <c r="D186" s="57"/>
      <c r="M186" s="58"/>
      <c r="P186" s="28"/>
      <c r="Q186" s="58"/>
      <c r="R186" s="58"/>
      <c r="S186" s="28"/>
      <c r="T186" s="58"/>
      <c r="U186" s="58"/>
      <c r="V186" s="58"/>
      <c r="W186" s="58"/>
      <c r="AQ186" s="57"/>
    </row>
    <row r="187" ht="15.75" customHeight="1">
      <c r="A187" s="57"/>
      <c r="B187" s="28"/>
      <c r="C187" s="57"/>
      <c r="D187" s="57"/>
      <c r="M187" s="58"/>
      <c r="P187" s="28"/>
      <c r="Q187" s="58"/>
      <c r="R187" s="58"/>
      <c r="S187" s="28"/>
      <c r="T187" s="58"/>
      <c r="U187" s="58"/>
      <c r="V187" s="58"/>
      <c r="W187" s="58"/>
      <c r="AQ187" s="57"/>
    </row>
    <row r="188" ht="15.75" customHeight="1">
      <c r="A188" s="57"/>
      <c r="B188" s="28"/>
      <c r="C188" s="57"/>
      <c r="D188" s="57"/>
      <c r="M188" s="58"/>
      <c r="P188" s="28"/>
      <c r="Q188" s="58"/>
      <c r="R188" s="58"/>
      <c r="S188" s="28"/>
      <c r="T188" s="58"/>
      <c r="U188" s="58"/>
      <c r="V188" s="58"/>
      <c r="W188" s="58"/>
      <c r="AQ188" s="57"/>
    </row>
    <row r="189" ht="15.75" customHeight="1">
      <c r="A189" s="57"/>
      <c r="B189" s="28"/>
      <c r="C189" s="57"/>
      <c r="D189" s="57"/>
      <c r="M189" s="58"/>
      <c r="P189" s="28"/>
      <c r="Q189" s="58"/>
      <c r="R189" s="58"/>
      <c r="S189" s="28"/>
      <c r="T189" s="58"/>
      <c r="U189" s="58"/>
      <c r="V189" s="58"/>
      <c r="W189" s="58"/>
      <c r="AQ189" s="57"/>
    </row>
    <row r="190" ht="15.75" customHeight="1">
      <c r="A190" s="57"/>
      <c r="B190" s="28"/>
      <c r="C190" s="57"/>
      <c r="D190" s="57"/>
      <c r="M190" s="58"/>
      <c r="P190" s="28"/>
      <c r="Q190" s="58"/>
      <c r="R190" s="58"/>
      <c r="S190" s="28"/>
      <c r="T190" s="58"/>
      <c r="U190" s="58"/>
      <c r="V190" s="58"/>
      <c r="W190" s="58"/>
      <c r="AQ190" s="57"/>
    </row>
    <row r="191" ht="15.75" customHeight="1">
      <c r="A191" s="57"/>
      <c r="B191" s="28"/>
      <c r="C191" s="57"/>
      <c r="D191" s="57"/>
      <c r="M191" s="58"/>
      <c r="P191" s="28"/>
      <c r="Q191" s="58"/>
      <c r="R191" s="58"/>
      <c r="S191" s="28"/>
      <c r="T191" s="58"/>
      <c r="U191" s="58"/>
      <c r="V191" s="58"/>
      <c r="W191" s="58"/>
      <c r="AQ191" s="57"/>
    </row>
    <row r="192" ht="15.75" customHeight="1">
      <c r="A192" s="57"/>
      <c r="B192" s="28"/>
      <c r="C192" s="57"/>
      <c r="D192" s="57"/>
      <c r="M192" s="58"/>
      <c r="P192" s="28"/>
      <c r="Q192" s="58"/>
      <c r="R192" s="58"/>
      <c r="S192" s="28"/>
      <c r="T192" s="58"/>
      <c r="U192" s="58"/>
      <c r="V192" s="58"/>
      <c r="W192" s="58"/>
      <c r="AQ192" s="57"/>
    </row>
    <row r="193" ht="15.75" customHeight="1">
      <c r="A193" s="57"/>
      <c r="B193" s="28"/>
      <c r="C193" s="57"/>
      <c r="D193" s="57"/>
      <c r="M193" s="58"/>
      <c r="P193" s="28"/>
      <c r="Q193" s="58"/>
      <c r="R193" s="58"/>
      <c r="S193" s="28"/>
      <c r="T193" s="58"/>
      <c r="U193" s="58"/>
      <c r="V193" s="58"/>
      <c r="W193" s="58"/>
      <c r="AQ193" s="57"/>
    </row>
    <row r="194" ht="15.75" customHeight="1">
      <c r="A194" s="57"/>
      <c r="B194" s="28"/>
      <c r="C194" s="57"/>
      <c r="D194" s="57"/>
      <c r="M194" s="58"/>
      <c r="P194" s="28"/>
      <c r="Q194" s="58"/>
      <c r="R194" s="58"/>
      <c r="S194" s="28"/>
      <c r="T194" s="58"/>
      <c r="U194" s="58"/>
      <c r="V194" s="58"/>
      <c r="W194" s="58"/>
      <c r="AQ194" s="57"/>
    </row>
    <row r="195" ht="15.75" customHeight="1">
      <c r="A195" s="57"/>
      <c r="B195" s="28"/>
      <c r="C195" s="57"/>
      <c r="D195" s="57"/>
      <c r="M195" s="58"/>
      <c r="P195" s="28"/>
      <c r="Q195" s="58"/>
      <c r="R195" s="58"/>
      <c r="S195" s="28"/>
      <c r="T195" s="58"/>
      <c r="U195" s="58"/>
      <c r="V195" s="58"/>
      <c r="W195" s="58"/>
      <c r="AQ195" s="57"/>
    </row>
    <row r="196" ht="15.75" customHeight="1">
      <c r="A196" s="57"/>
      <c r="B196" s="28"/>
      <c r="C196" s="57"/>
      <c r="D196" s="57"/>
      <c r="M196" s="58"/>
      <c r="P196" s="28"/>
      <c r="Q196" s="58"/>
      <c r="R196" s="58"/>
      <c r="S196" s="28"/>
      <c r="T196" s="58"/>
      <c r="U196" s="58"/>
      <c r="V196" s="58"/>
      <c r="W196" s="58"/>
      <c r="AQ196" s="57"/>
    </row>
    <row r="197" ht="15.75" customHeight="1">
      <c r="A197" s="57"/>
      <c r="B197" s="28"/>
      <c r="C197" s="57"/>
      <c r="D197" s="57"/>
      <c r="M197" s="58"/>
      <c r="P197" s="28"/>
      <c r="Q197" s="58"/>
      <c r="R197" s="58"/>
      <c r="S197" s="28"/>
      <c r="T197" s="58"/>
      <c r="U197" s="58"/>
      <c r="V197" s="58"/>
      <c r="W197" s="58"/>
      <c r="AQ197" s="57"/>
    </row>
    <row r="198" ht="15.75" customHeight="1">
      <c r="A198" s="57"/>
      <c r="B198" s="28"/>
      <c r="C198" s="57"/>
      <c r="D198" s="57"/>
      <c r="M198" s="58"/>
      <c r="P198" s="28"/>
      <c r="Q198" s="58"/>
      <c r="R198" s="58"/>
      <c r="S198" s="28"/>
      <c r="T198" s="58"/>
      <c r="U198" s="58"/>
      <c r="V198" s="58"/>
      <c r="W198" s="58"/>
      <c r="AQ198" s="57"/>
    </row>
    <row r="199" ht="15.75" customHeight="1">
      <c r="A199" s="57"/>
      <c r="B199" s="28"/>
      <c r="C199" s="57"/>
      <c r="D199" s="57"/>
      <c r="M199" s="58"/>
      <c r="P199" s="28"/>
      <c r="Q199" s="58"/>
      <c r="R199" s="58"/>
      <c r="S199" s="28"/>
      <c r="T199" s="58"/>
      <c r="U199" s="58"/>
      <c r="V199" s="58"/>
      <c r="W199" s="58"/>
      <c r="AQ199" s="57"/>
    </row>
    <row r="200" ht="15.75" customHeight="1">
      <c r="A200" s="57"/>
      <c r="B200" s="28"/>
      <c r="C200" s="57"/>
      <c r="D200" s="57"/>
      <c r="M200" s="58"/>
      <c r="P200" s="28"/>
      <c r="Q200" s="58"/>
      <c r="R200" s="58"/>
      <c r="S200" s="28"/>
      <c r="T200" s="58"/>
      <c r="U200" s="58"/>
      <c r="V200" s="58"/>
      <c r="W200" s="58"/>
      <c r="AQ200" s="57"/>
    </row>
    <row r="201" ht="15.75" customHeight="1">
      <c r="A201" s="57"/>
      <c r="B201" s="28"/>
      <c r="C201" s="57"/>
      <c r="D201" s="57"/>
      <c r="M201" s="58"/>
      <c r="P201" s="28"/>
      <c r="Q201" s="58"/>
      <c r="R201" s="58"/>
      <c r="S201" s="28"/>
      <c r="T201" s="58"/>
      <c r="U201" s="58"/>
      <c r="V201" s="58"/>
      <c r="W201" s="58"/>
      <c r="AQ201" s="57"/>
    </row>
    <row r="202" ht="15.75" customHeight="1">
      <c r="A202" s="57"/>
      <c r="B202" s="28"/>
      <c r="C202" s="57"/>
      <c r="D202" s="57"/>
      <c r="M202" s="58"/>
      <c r="P202" s="28"/>
      <c r="Q202" s="58"/>
      <c r="R202" s="58"/>
      <c r="S202" s="28"/>
      <c r="T202" s="58"/>
      <c r="U202" s="58"/>
      <c r="V202" s="58"/>
      <c r="W202" s="58"/>
      <c r="AQ202" s="57"/>
    </row>
    <row r="203" ht="15.75" customHeight="1">
      <c r="A203" s="57"/>
      <c r="B203" s="28"/>
      <c r="C203" s="57"/>
      <c r="D203" s="57"/>
      <c r="M203" s="58"/>
      <c r="P203" s="28"/>
      <c r="Q203" s="58"/>
      <c r="R203" s="58"/>
      <c r="S203" s="28"/>
      <c r="T203" s="58"/>
      <c r="U203" s="58"/>
      <c r="V203" s="58"/>
      <c r="W203" s="58"/>
      <c r="AQ203" s="57"/>
    </row>
    <row r="204" ht="15.75" customHeight="1">
      <c r="A204" s="57"/>
      <c r="B204" s="28"/>
      <c r="C204" s="57"/>
      <c r="D204" s="57"/>
      <c r="M204" s="58"/>
      <c r="P204" s="28"/>
      <c r="Q204" s="58"/>
      <c r="R204" s="58"/>
      <c r="S204" s="28"/>
      <c r="T204" s="58"/>
      <c r="U204" s="58"/>
      <c r="V204" s="58"/>
      <c r="W204" s="58"/>
      <c r="AQ204" s="57"/>
    </row>
    <row r="205" ht="15.75" customHeight="1">
      <c r="A205" s="57"/>
      <c r="B205" s="28"/>
      <c r="C205" s="57"/>
      <c r="D205" s="57"/>
      <c r="M205" s="58"/>
      <c r="P205" s="28"/>
      <c r="Q205" s="58"/>
      <c r="R205" s="58"/>
      <c r="S205" s="28"/>
      <c r="T205" s="58"/>
      <c r="U205" s="58"/>
      <c r="V205" s="58"/>
      <c r="W205" s="58"/>
      <c r="AQ205" s="57"/>
    </row>
    <row r="206" ht="15.75" customHeight="1">
      <c r="A206" s="57"/>
      <c r="B206" s="28"/>
      <c r="C206" s="57"/>
      <c r="D206" s="57"/>
      <c r="M206" s="58"/>
      <c r="P206" s="28"/>
      <c r="Q206" s="58"/>
      <c r="R206" s="58"/>
      <c r="S206" s="28"/>
      <c r="T206" s="58"/>
      <c r="U206" s="58"/>
      <c r="V206" s="58"/>
      <c r="W206" s="58"/>
      <c r="AQ206" s="57"/>
    </row>
    <row r="207" ht="15.75" customHeight="1">
      <c r="A207" s="57"/>
      <c r="B207" s="28"/>
      <c r="C207" s="57"/>
      <c r="D207" s="57"/>
      <c r="M207" s="58"/>
      <c r="P207" s="28"/>
      <c r="Q207" s="58"/>
      <c r="R207" s="58"/>
      <c r="S207" s="28"/>
      <c r="T207" s="58"/>
      <c r="U207" s="58"/>
      <c r="V207" s="58"/>
      <c r="W207" s="58"/>
      <c r="AQ207" s="57"/>
    </row>
    <row r="208" ht="15.75" customHeight="1">
      <c r="A208" s="57"/>
      <c r="B208" s="28"/>
      <c r="C208" s="57"/>
      <c r="D208" s="57"/>
      <c r="M208" s="58"/>
      <c r="P208" s="28"/>
      <c r="Q208" s="58"/>
      <c r="R208" s="58"/>
      <c r="S208" s="28"/>
      <c r="T208" s="58"/>
      <c r="U208" s="58"/>
      <c r="V208" s="58"/>
      <c r="W208" s="58"/>
      <c r="AQ208" s="57"/>
    </row>
    <row r="209" ht="15.75" customHeight="1">
      <c r="A209" s="57"/>
      <c r="B209" s="28"/>
      <c r="C209" s="57"/>
      <c r="D209" s="57"/>
      <c r="M209" s="58"/>
      <c r="P209" s="28"/>
      <c r="Q209" s="58"/>
      <c r="R209" s="58"/>
      <c r="S209" s="28"/>
      <c r="T209" s="58"/>
      <c r="U209" s="58"/>
      <c r="V209" s="58"/>
      <c r="W209" s="58"/>
      <c r="AQ209" s="57"/>
    </row>
    <row r="210" ht="15.75" customHeight="1">
      <c r="A210" s="57"/>
      <c r="B210" s="28"/>
      <c r="C210" s="57"/>
      <c r="D210" s="57"/>
      <c r="M210" s="58"/>
      <c r="P210" s="28"/>
      <c r="Q210" s="58"/>
      <c r="R210" s="58"/>
      <c r="S210" s="28"/>
      <c r="T210" s="58"/>
      <c r="U210" s="58"/>
      <c r="V210" s="58"/>
      <c r="W210" s="58"/>
      <c r="AQ210" s="57"/>
    </row>
    <row r="211" ht="15.75" customHeight="1">
      <c r="A211" s="57"/>
      <c r="B211" s="28"/>
      <c r="C211" s="57"/>
      <c r="D211" s="57"/>
      <c r="M211" s="58"/>
      <c r="P211" s="28"/>
      <c r="Q211" s="58"/>
      <c r="R211" s="58"/>
      <c r="S211" s="28"/>
      <c r="T211" s="58"/>
      <c r="U211" s="58"/>
      <c r="V211" s="58"/>
      <c r="W211" s="58"/>
      <c r="AQ211" s="57"/>
    </row>
    <row r="212" ht="15.75" customHeight="1">
      <c r="A212" s="57"/>
      <c r="B212" s="28"/>
      <c r="C212" s="57"/>
      <c r="D212" s="57"/>
      <c r="M212" s="58"/>
      <c r="P212" s="28"/>
      <c r="Q212" s="58"/>
      <c r="R212" s="58"/>
      <c r="S212" s="28"/>
      <c r="T212" s="58"/>
      <c r="U212" s="58"/>
      <c r="V212" s="58"/>
      <c r="W212" s="58"/>
      <c r="AQ212" s="57"/>
    </row>
    <row r="213" ht="15.75" customHeight="1">
      <c r="A213" s="57"/>
      <c r="B213" s="28"/>
      <c r="C213" s="57"/>
      <c r="D213" s="57"/>
      <c r="M213" s="58"/>
      <c r="P213" s="28"/>
      <c r="Q213" s="58"/>
      <c r="R213" s="58"/>
      <c r="S213" s="28"/>
      <c r="T213" s="58"/>
      <c r="U213" s="58"/>
      <c r="V213" s="58"/>
      <c r="W213" s="58"/>
      <c r="AQ213" s="57"/>
    </row>
    <row r="214" ht="15.75" customHeight="1">
      <c r="A214" s="57"/>
      <c r="B214" s="28"/>
      <c r="C214" s="57"/>
      <c r="D214" s="57"/>
      <c r="M214" s="58"/>
      <c r="P214" s="28"/>
      <c r="Q214" s="58"/>
      <c r="R214" s="58"/>
      <c r="S214" s="28"/>
      <c r="T214" s="58"/>
      <c r="U214" s="58"/>
      <c r="V214" s="58"/>
      <c r="W214" s="58"/>
      <c r="AQ214" s="57"/>
    </row>
    <row r="215" ht="15.75" customHeight="1">
      <c r="A215" s="57"/>
      <c r="B215" s="28"/>
      <c r="C215" s="57"/>
      <c r="D215" s="57"/>
      <c r="M215" s="58"/>
      <c r="P215" s="28"/>
      <c r="Q215" s="58"/>
      <c r="R215" s="58"/>
      <c r="S215" s="28"/>
      <c r="T215" s="58"/>
      <c r="U215" s="58"/>
      <c r="V215" s="58"/>
      <c r="W215" s="58"/>
      <c r="AQ215" s="57"/>
    </row>
    <row r="216" ht="15.75" customHeight="1">
      <c r="A216" s="57"/>
      <c r="B216" s="28"/>
      <c r="C216" s="57"/>
      <c r="D216" s="57"/>
      <c r="M216" s="58"/>
      <c r="P216" s="28"/>
      <c r="Q216" s="58"/>
      <c r="R216" s="58"/>
      <c r="S216" s="28"/>
      <c r="T216" s="58"/>
      <c r="U216" s="58"/>
      <c r="V216" s="58"/>
      <c r="W216" s="58"/>
      <c r="AQ216" s="57"/>
    </row>
    <row r="217" ht="15.75" customHeight="1">
      <c r="A217" s="57"/>
      <c r="B217" s="28"/>
      <c r="C217" s="57"/>
      <c r="D217" s="57"/>
      <c r="M217" s="58"/>
      <c r="P217" s="28"/>
      <c r="Q217" s="58"/>
      <c r="R217" s="58"/>
      <c r="S217" s="28"/>
      <c r="T217" s="58"/>
      <c r="U217" s="58"/>
      <c r="V217" s="58"/>
      <c r="W217" s="58"/>
      <c r="AQ217" s="57"/>
    </row>
    <row r="218" ht="15.75" customHeight="1">
      <c r="A218" s="57"/>
      <c r="B218" s="28"/>
      <c r="C218" s="57"/>
      <c r="D218" s="57"/>
      <c r="M218" s="58"/>
      <c r="P218" s="28"/>
      <c r="Q218" s="58"/>
      <c r="R218" s="58"/>
      <c r="S218" s="28"/>
      <c r="T218" s="58"/>
      <c r="U218" s="58"/>
      <c r="V218" s="58"/>
      <c r="W218" s="58"/>
      <c r="AQ218" s="57"/>
    </row>
    <row r="219" ht="15.75" customHeight="1">
      <c r="A219" s="57"/>
      <c r="B219" s="28"/>
      <c r="C219" s="57"/>
      <c r="D219" s="57"/>
      <c r="M219" s="58"/>
      <c r="P219" s="28"/>
      <c r="Q219" s="58"/>
      <c r="R219" s="58"/>
      <c r="S219" s="28"/>
      <c r="T219" s="58"/>
      <c r="U219" s="58"/>
      <c r="V219" s="58"/>
      <c r="W219" s="58"/>
      <c r="AQ219" s="57"/>
    </row>
    <row r="220" ht="15.75" customHeight="1">
      <c r="A220" s="57"/>
      <c r="B220" s="28"/>
      <c r="C220" s="57"/>
      <c r="D220" s="57"/>
      <c r="M220" s="58"/>
      <c r="P220" s="28"/>
      <c r="Q220" s="58"/>
      <c r="R220" s="58"/>
      <c r="S220" s="28"/>
      <c r="T220" s="58"/>
      <c r="U220" s="58"/>
      <c r="V220" s="58"/>
      <c r="W220" s="58"/>
      <c r="AQ220" s="57"/>
    </row>
    <row r="221" ht="15.75" customHeight="1">
      <c r="A221" s="57"/>
      <c r="B221" s="28"/>
      <c r="C221" s="57"/>
      <c r="D221" s="57"/>
      <c r="M221" s="58"/>
      <c r="P221" s="28"/>
      <c r="Q221" s="58"/>
      <c r="R221" s="58"/>
      <c r="S221" s="28"/>
      <c r="T221" s="58"/>
      <c r="U221" s="58"/>
      <c r="V221" s="58"/>
      <c r="W221" s="58"/>
      <c r="AQ221" s="57"/>
    </row>
    <row r="222" ht="15.75" customHeight="1">
      <c r="A222" s="57"/>
      <c r="B222" s="28"/>
      <c r="C222" s="57"/>
      <c r="D222" s="57"/>
      <c r="M222" s="58"/>
      <c r="P222" s="28"/>
      <c r="Q222" s="58"/>
      <c r="R222" s="58"/>
      <c r="S222" s="28"/>
      <c r="T222" s="58"/>
      <c r="U222" s="58"/>
      <c r="V222" s="58"/>
      <c r="W222" s="58"/>
      <c r="AQ222" s="57"/>
    </row>
    <row r="223" ht="15.75" customHeight="1">
      <c r="A223" s="57"/>
      <c r="B223" s="28"/>
      <c r="C223" s="57"/>
      <c r="D223" s="57"/>
      <c r="M223" s="58"/>
      <c r="P223" s="28"/>
      <c r="Q223" s="58"/>
      <c r="R223" s="58"/>
      <c r="S223" s="28"/>
      <c r="T223" s="58"/>
      <c r="U223" s="58"/>
      <c r="V223" s="58"/>
      <c r="W223" s="58"/>
      <c r="AQ223" s="57"/>
    </row>
    <row r="224" ht="15.75" customHeight="1">
      <c r="A224" s="57"/>
      <c r="B224" s="28"/>
      <c r="C224" s="57"/>
      <c r="D224" s="57"/>
      <c r="M224" s="58"/>
      <c r="P224" s="28"/>
      <c r="Q224" s="58"/>
      <c r="R224" s="58"/>
      <c r="S224" s="28"/>
      <c r="T224" s="58"/>
      <c r="U224" s="58"/>
      <c r="V224" s="58"/>
      <c r="W224" s="58"/>
      <c r="AQ224" s="57"/>
    </row>
    <row r="225" ht="15.75" customHeight="1">
      <c r="A225" s="57"/>
      <c r="B225" s="28"/>
      <c r="C225" s="57"/>
      <c r="D225" s="57"/>
      <c r="M225" s="58"/>
      <c r="P225" s="28"/>
      <c r="Q225" s="58"/>
      <c r="R225" s="58"/>
      <c r="S225" s="28"/>
      <c r="T225" s="58"/>
      <c r="U225" s="58"/>
      <c r="V225" s="58"/>
      <c r="W225" s="58"/>
      <c r="AQ225" s="57"/>
    </row>
    <row r="226" ht="15.75" customHeight="1">
      <c r="A226" s="57"/>
      <c r="B226" s="28"/>
      <c r="C226" s="57"/>
      <c r="D226" s="57"/>
      <c r="M226" s="58"/>
      <c r="P226" s="28"/>
      <c r="Q226" s="58"/>
      <c r="R226" s="58"/>
      <c r="S226" s="28"/>
      <c r="T226" s="58"/>
      <c r="U226" s="58"/>
      <c r="V226" s="58"/>
      <c r="W226" s="58"/>
      <c r="AQ226" s="57"/>
    </row>
    <row r="227" ht="15.75" customHeight="1">
      <c r="A227" s="57"/>
      <c r="B227" s="28"/>
      <c r="C227" s="57"/>
      <c r="D227" s="57"/>
      <c r="M227" s="58"/>
      <c r="P227" s="28"/>
      <c r="Q227" s="58"/>
      <c r="R227" s="58"/>
      <c r="S227" s="28"/>
      <c r="T227" s="58"/>
      <c r="U227" s="58"/>
      <c r="V227" s="58"/>
      <c r="W227" s="58"/>
      <c r="AQ227" s="57"/>
    </row>
    <row r="228" ht="15.75" customHeight="1">
      <c r="A228" s="57"/>
      <c r="B228" s="28"/>
      <c r="C228" s="57"/>
      <c r="D228" s="57"/>
      <c r="M228" s="58"/>
      <c r="P228" s="28"/>
      <c r="Q228" s="58"/>
      <c r="R228" s="58"/>
      <c r="S228" s="28"/>
      <c r="T228" s="58"/>
      <c r="U228" s="58"/>
      <c r="V228" s="58"/>
      <c r="W228" s="58"/>
      <c r="AQ228" s="57"/>
    </row>
    <row r="229" ht="15.75" customHeight="1">
      <c r="A229" s="57"/>
      <c r="B229" s="28"/>
      <c r="C229" s="57"/>
      <c r="D229" s="57"/>
      <c r="M229" s="58"/>
      <c r="P229" s="28"/>
      <c r="Q229" s="58"/>
      <c r="R229" s="58"/>
      <c r="S229" s="28"/>
      <c r="T229" s="58"/>
      <c r="U229" s="58"/>
      <c r="V229" s="58"/>
      <c r="W229" s="58"/>
      <c r="AQ229" s="57"/>
    </row>
    <row r="230" ht="15.75" customHeight="1">
      <c r="A230" s="57"/>
      <c r="B230" s="28"/>
      <c r="C230" s="57"/>
      <c r="D230" s="57"/>
      <c r="M230" s="58"/>
      <c r="P230" s="28"/>
      <c r="Q230" s="58"/>
      <c r="R230" s="58"/>
      <c r="S230" s="28"/>
      <c r="T230" s="58"/>
      <c r="U230" s="58"/>
      <c r="V230" s="58"/>
      <c r="W230" s="58"/>
      <c r="AQ230" s="57"/>
    </row>
    <row r="231" ht="15.75" customHeight="1">
      <c r="A231" s="57"/>
      <c r="B231" s="28"/>
      <c r="C231" s="57"/>
      <c r="D231" s="57"/>
      <c r="M231" s="58"/>
      <c r="P231" s="28"/>
      <c r="Q231" s="58"/>
      <c r="R231" s="58"/>
      <c r="S231" s="28"/>
      <c r="T231" s="58"/>
      <c r="U231" s="58"/>
      <c r="V231" s="58"/>
      <c r="W231" s="58"/>
      <c r="AQ231" s="57"/>
    </row>
    <row r="232" ht="15.75" customHeight="1">
      <c r="A232" s="57"/>
      <c r="B232" s="28"/>
      <c r="C232" s="57"/>
      <c r="D232" s="57"/>
      <c r="M232" s="58"/>
      <c r="P232" s="28"/>
      <c r="Q232" s="58"/>
      <c r="R232" s="58"/>
      <c r="S232" s="28"/>
      <c r="T232" s="58"/>
      <c r="U232" s="58"/>
      <c r="V232" s="58"/>
      <c r="W232" s="58"/>
      <c r="AQ232" s="57"/>
    </row>
    <row r="233" ht="15.75" customHeight="1">
      <c r="A233" s="57"/>
      <c r="B233" s="28"/>
      <c r="C233" s="57"/>
      <c r="D233" s="57"/>
      <c r="M233" s="58"/>
      <c r="P233" s="28"/>
      <c r="Q233" s="58"/>
      <c r="R233" s="58"/>
      <c r="S233" s="28"/>
      <c r="T233" s="58"/>
      <c r="U233" s="58"/>
      <c r="V233" s="58"/>
      <c r="W233" s="58"/>
      <c r="AQ233" s="57"/>
    </row>
    <row r="234" ht="15.75" customHeight="1">
      <c r="A234" s="57"/>
      <c r="B234" s="28"/>
      <c r="C234" s="57"/>
      <c r="D234" s="57"/>
      <c r="M234" s="58"/>
      <c r="P234" s="28"/>
      <c r="Q234" s="58"/>
      <c r="R234" s="58"/>
      <c r="S234" s="28"/>
      <c r="T234" s="58"/>
      <c r="U234" s="58"/>
      <c r="V234" s="58"/>
      <c r="W234" s="58"/>
      <c r="AQ234" s="57"/>
    </row>
    <row r="235" ht="15.75" customHeight="1">
      <c r="A235" s="57"/>
      <c r="B235" s="28"/>
      <c r="C235" s="57"/>
      <c r="D235" s="57"/>
      <c r="M235" s="58"/>
      <c r="P235" s="28"/>
      <c r="Q235" s="58"/>
      <c r="R235" s="58"/>
      <c r="S235" s="28"/>
      <c r="T235" s="58"/>
      <c r="U235" s="58"/>
      <c r="V235" s="58"/>
      <c r="W235" s="58"/>
      <c r="AQ235" s="57"/>
    </row>
    <row r="236" ht="15.75" customHeight="1">
      <c r="A236" s="57"/>
      <c r="B236" s="28"/>
      <c r="C236" s="57"/>
      <c r="D236" s="57"/>
      <c r="M236" s="58"/>
      <c r="P236" s="28"/>
      <c r="Q236" s="58"/>
      <c r="R236" s="58"/>
      <c r="S236" s="28"/>
      <c r="T236" s="58"/>
      <c r="U236" s="58"/>
      <c r="V236" s="58"/>
      <c r="W236" s="58"/>
      <c r="AQ236" s="57"/>
    </row>
    <row r="237" ht="15.75" customHeight="1">
      <c r="A237" s="57"/>
      <c r="B237" s="28"/>
      <c r="C237" s="57"/>
      <c r="D237" s="57"/>
      <c r="M237" s="58"/>
      <c r="P237" s="28"/>
      <c r="Q237" s="58"/>
      <c r="R237" s="58"/>
      <c r="S237" s="28"/>
      <c r="T237" s="58"/>
      <c r="U237" s="58"/>
      <c r="V237" s="58"/>
      <c r="W237" s="58"/>
      <c r="AQ237" s="57"/>
    </row>
    <row r="238" ht="15.75" customHeight="1">
      <c r="A238" s="57"/>
      <c r="B238" s="28"/>
      <c r="C238" s="57"/>
      <c r="D238" s="57"/>
      <c r="M238" s="58"/>
      <c r="P238" s="28"/>
      <c r="Q238" s="58"/>
      <c r="R238" s="58"/>
      <c r="S238" s="28"/>
      <c r="T238" s="58"/>
      <c r="U238" s="58"/>
      <c r="V238" s="58"/>
      <c r="W238" s="58"/>
      <c r="AQ238" s="57"/>
    </row>
    <row r="239" ht="15.75" customHeight="1">
      <c r="A239" s="57"/>
      <c r="B239" s="28"/>
      <c r="C239" s="57"/>
      <c r="D239" s="57"/>
      <c r="M239" s="58"/>
      <c r="P239" s="28"/>
      <c r="Q239" s="58"/>
      <c r="R239" s="58"/>
      <c r="S239" s="28"/>
      <c r="T239" s="58"/>
      <c r="U239" s="58"/>
      <c r="V239" s="58"/>
      <c r="W239" s="58"/>
      <c r="AQ239" s="57"/>
    </row>
    <row r="240" ht="15.75" customHeight="1">
      <c r="A240" s="57"/>
      <c r="B240" s="28"/>
      <c r="C240" s="57"/>
      <c r="D240" s="57"/>
      <c r="M240" s="58"/>
      <c r="P240" s="28"/>
      <c r="Q240" s="58"/>
      <c r="R240" s="58"/>
      <c r="S240" s="28"/>
      <c r="T240" s="58"/>
      <c r="U240" s="58"/>
      <c r="V240" s="58"/>
      <c r="W240" s="58"/>
      <c r="AQ240" s="57"/>
    </row>
    <row r="241" ht="15.75" customHeight="1">
      <c r="A241" s="57"/>
      <c r="B241" s="28"/>
      <c r="C241" s="57"/>
      <c r="D241" s="57"/>
      <c r="M241" s="58"/>
      <c r="P241" s="28"/>
      <c r="Q241" s="58"/>
      <c r="R241" s="58"/>
      <c r="S241" s="28"/>
      <c r="T241" s="58"/>
      <c r="U241" s="58"/>
      <c r="V241" s="58"/>
      <c r="W241" s="58"/>
      <c r="AQ241" s="57"/>
    </row>
    <row r="242" ht="15.75" customHeight="1">
      <c r="A242" s="57"/>
      <c r="B242" s="28"/>
      <c r="C242" s="57"/>
      <c r="D242" s="57"/>
      <c r="M242" s="58"/>
      <c r="P242" s="28"/>
      <c r="Q242" s="58"/>
      <c r="R242" s="58"/>
      <c r="S242" s="28"/>
      <c r="T242" s="58"/>
      <c r="U242" s="58"/>
      <c r="V242" s="58"/>
      <c r="W242" s="58"/>
      <c r="AQ242" s="57"/>
    </row>
    <row r="243" ht="15.75" customHeight="1">
      <c r="A243" s="57"/>
      <c r="B243" s="28"/>
      <c r="C243" s="57"/>
      <c r="D243" s="57"/>
      <c r="M243" s="58"/>
      <c r="P243" s="28"/>
      <c r="Q243" s="58"/>
      <c r="R243" s="58"/>
      <c r="S243" s="28"/>
      <c r="T243" s="58"/>
      <c r="U243" s="58"/>
      <c r="V243" s="58"/>
      <c r="W243" s="58"/>
      <c r="AQ243" s="57"/>
    </row>
    <row r="244" ht="15.75" customHeight="1">
      <c r="A244" s="57"/>
      <c r="B244" s="28"/>
      <c r="C244" s="57"/>
      <c r="D244" s="57"/>
      <c r="M244" s="58"/>
      <c r="P244" s="28"/>
      <c r="Q244" s="58"/>
      <c r="R244" s="58"/>
      <c r="S244" s="28"/>
      <c r="T244" s="58"/>
      <c r="U244" s="58"/>
      <c r="V244" s="58"/>
      <c r="W244" s="58"/>
      <c r="AQ244" s="57"/>
    </row>
    <row r="245" ht="15.75" customHeight="1">
      <c r="A245" s="57"/>
      <c r="B245" s="28"/>
      <c r="C245" s="57"/>
      <c r="D245" s="57"/>
      <c r="M245" s="58"/>
      <c r="P245" s="28"/>
      <c r="Q245" s="58"/>
      <c r="R245" s="58"/>
      <c r="S245" s="28"/>
      <c r="T245" s="58"/>
      <c r="U245" s="58"/>
      <c r="V245" s="58"/>
      <c r="W245" s="58"/>
      <c r="AQ245" s="57"/>
    </row>
    <row r="246" ht="15.75" customHeight="1">
      <c r="A246" s="57"/>
      <c r="B246" s="28"/>
      <c r="C246" s="57"/>
      <c r="D246" s="57"/>
      <c r="M246" s="58"/>
      <c r="P246" s="28"/>
      <c r="Q246" s="58"/>
      <c r="R246" s="58"/>
      <c r="S246" s="28"/>
      <c r="T246" s="58"/>
      <c r="U246" s="58"/>
      <c r="V246" s="58"/>
      <c r="W246" s="58"/>
      <c r="AQ246" s="57"/>
    </row>
    <row r="247" ht="15.75" customHeight="1">
      <c r="A247" s="57"/>
      <c r="B247" s="28"/>
      <c r="C247" s="57"/>
      <c r="D247" s="57"/>
      <c r="M247" s="58"/>
      <c r="P247" s="28"/>
      <c r="Q247" s="58"/>
      <c r="R247" s="58"/>
      <c r="S247" s="28"/>
      <c r="T247" s="58"/>
      <c r="U247" s="58"/>
      <c r="V247" s="58"/>
      <c r="W247" s="58"/>
      <c r="AQ247" s="57"/>
    </row>
    <row r="248" ht="15.75" customHeight="1">
      <c r="A248" s="57"/>
      <c r="B248" s="28"/>
      <c r="C248" s="57"/>
      <c r="D248" s="57"/>
      <c r="M248" s="58"/>
      <c r="P248" s="28"/>
      <c r="Q248" s="58"/>
      <c r="R248" s="58"/>
      <c r="S248" s="28"/>
      <c r="T248" s="58"/>
      <c r="U248" s="58"/>
      <c r="V248" s="58"/>
      <c r="W248" s="58"/>
      <c r="AQ248" s="57"/>
    </row>
    <row r="249" ht="15.75" customHeight="1">
      <c r="A249" s="57"/>
      <c r="B249" s="28"/>
      <c r="C249" s="57"/>
      <c r="D249" s="57"/>
      <c r="M249" s="58"/>
      <c r="P249" s="28"/>
      <c r="Q249" s="58"/>
      <c r="R249" s="58"/>
      <c r="S249" s="28"/>
      <c r="T249" s="58"/>
      <c r="U249" s="58"/>
      <c r="V249" s="58"/>
      <c r="W249" s="58"/>
      <c r="AQ249" s="57"/>
    </row>
    <row r="250" ht="15.75" customHeight="1">
      <c r="A250" s="57"/>
      <c r="B250" s="28"/>
      <c r="C250" s="57"/>
      <c r="D250" s="57"/>
      <c r="M250" s="58"/>
      <c r="P250" s="28"/>
      <c r="Q250" s="58"/>
      <c r="R250" s="58"/>
      <c r="S250" s="28"/>
      <c r="T250" s="58"/>
      <c r="U250" s="58"/>
      <c r="V250" s="58"/>
      <c r="W250" s="58"/>
      <c r="AQ250" s="57"/>
    </row>
    <row r="251" ht="15.75" customHeight="1">
      <c r="A251" s="57"/>
      <c r="B251" s="28"/>
      <c r="C251" s="57"/>
      <c r="D251" s="57"/>
      <c r="M251" s="58"/>
      <c r="P251" s="28"/>
      <c r="Q251" s="58"/>
      <c r="R251" s="58"/>
      <c r="S251" s="28"/>
      <c r="T251" s="58"/>
      <c r="U251" s="58"/>
      <c r="V251" s="58"/>
      <c r="W251" s="58"/>
      <c r="AQ251" s="57"/>
    </row>
    <row r="252" ht="15.75" customHeight="1">
      <c r="A252" s="57"/>
      <c r="B252" s="28"/>
      <c r="C252" s="57"/>
      <c r="D252" s="57"/>
      <c r="M252" s="58"/>
      <c r="P252" s="28"/>
      <c r="Q252" s="58"/>
      <c r="R252" s="58"/>
      <c r="S252" s="28"/>
      <c r="T252" s="58"/>
      <c r="U252" s="58"/>
      <c r="V252" s="58"/>
      <c r="W252" s="58"/>
      <c r="AQ252" s="57"/>
    </row>
    <row r="253" ht="15.75" customHeight="1">
      <c r="A253" s="57"/>
      <c r="B253" s="28"/>
      <c r="C253" s="57"/>
      <c r="D253" s="57"/>
      <c r="M253" s="58"/>
      <c r="P253" s="28"/>
      <c r="Q253" s="58"/>
      <c r="R253" s="58"/>
      <c r="S253" s="28"/>
      <c r="T253" s="58"/>
      <c r="U253" s="58"/>
      <c r="V253" s="58"/>
      <c r="W253" s="58"/>
      <c r="AQ253" s="57"/>
    </row>
    <row r="254" ht="15.75" customHeight="1">
      <c r="A254" s="57"/>
      <c r="B254" s="28"/>
      <c r="C254" s="57"/>
      <c r="D254" s="57"/>
      <c r="M254" s="58"/>
      <c r="P254" s="28"/>
      <c r="Q254" s="58"/>
      <c r="R254" s="58"/>
      <c r="S254" s="28"/>
      <c r="T254" s="58"/>
      <c r="U254" s="58"/>
      <c r="V254" s="58"/>
      <c r="W254" s="58"/>
      <c r="AQ254" s="57"/>
    </row>
    <row r="255" ht="15.75" customHeight="1">
      <c r="A255" s="57"/>
      <c r="B255" s="28"/>
      <c r="C255" s="57"/>
      <c r="D255" s="57"/>
      <c r="M255" s="58"/>
      <c r="P255" s="28"/>
      <c r="Q255" s="58"/>
      <c r="R255" s="58"/>
      <c r="S255" s="28"/>
      <c r="T255" s="58"/>
      <c r="U255" s="58"/>
      <c r="V255" s="58"/>
      <c r="W255" s="58"/>
      <c r="AQ255" s="57"/>
    </row>
    <row r="256" ht="15.75" customHeight="1">
      <c r="A256" s="57"/>
      <c r="B256" s="28"/>
      <c r="C256" s="57"/>
      <c r="D256" s="57"/>
      <c r="M256" s="58"/>
      <c r="P256" s="28"/>
      <c r="Q256" s="58"/>
      <c r="R256" s="58"/>
      <c r="S256" s="28"/>
      <c r="T256" s="58"/>
      <c r="U256" s="58"/>
      <c r="V256" s="58"/>
      <c r="W256" s="58"/>
      <c r="AQ256" s="57"/>
    </row>
    <row r="257" ht="15.75" customHeight="1">
      <c r="A257" s="57"/>
      <c r="B257" s="28"/>
      <c r="C257" s="57"/>
      <c r="D257" s="57"/>
      <c r="M257" s="58"/>
      <c r="P257" s="28"/>
      <c r="Q257" s="58"/>
      <c r="R257" s="58"/>
      <c r="S257" s="28"/>
      <c r="T257" s="58"/>
      <c r="U257" s="58"/>
      <c r="V257" s="58"/>
      <c r="W257" s="58"/>
      <c r="AQ257" s="57"/>
    </row>
    <row r="258" ht="15.75" customHeight="1">
      <c r="A258" s="57"/>
      <c r="B258" s="28"/>
      <c r="C258" s="57"/>
      <c r="D258" s="57"/>
      <c r="M258" s="58"/>
      <c r="P258" s="28"/>
      <c r="Q258" s="58"/>
      <c r="R258" s="58"/>
      <c r="S258" s="28"/>
      <c r="T258" s="58"/>
      <c r="U258" s="58"/>
      <c r="V258" s="58"/>
      <c r="W258" s="58"/>
      <c r="AQ258" s="57"/>
    </row>
    <row r="259" ht="15.75" customHeight="1">
      <c r="A259" s="57"/>
      <c r="B259" s="28"/>
      <c r="C259" s="57"/>
      <c r="D259" s="57"/>
      <c r="M259" s="58"/>
      <c r="P259" s="28"/>
      <c r="Q259" s="58"/>
      <c r="R259" s="58"/>
      <c r="S259" s="28"/>
      <c r="T259" s="58"/>
      <c r="U259" s="58"/>
      <c r="V259" s="58"/>
      <c r="W259" s="58"/>
      <c r="AQ259" s="57"/>
    </row>
    <row r="260" ht="15.75" customHeight="1">
      <c r="A260" s="57"/>
      <c r="B260" s="28"/>
      <c r="C260" s="57"/>
      <c r="D260" s="57"/>
      <c r="M260" s="58"/>
      <c r="P260" s="28"/>
      <c r="Q260" s="58"/>
      <c r="R260" s="58"/>
      <c r="S260" s="28"/>
      <c r="T260" s="58"/>
      <c r="U260" s="58"/>
      <c r="V260" s="58"/>
      <c r="W260" s="58"/>
      <c r="AQ260" s="57"/>
    </row>
    <row r="261" ht="15.75" customHeight="1">
      <c r="A261" s="57"/>
      <c r="B261" s="28"/>
      <c r="C261" s="57"/>
      <c r="D261" s="57"/>
      <c r="M261" s="58"/>
      <c r="P261" s="28"/>
      <c r="Q261" s="58"/>
      <c r="R261" s="58"/>
      <c r="S261" s="28"/>
      <c r="T261" s="58"/>
      <c r="U261" s="58"/>
      <c r="V261" s="58"/>
      <c r="W261" s="58"/>
      <c r="AQ261" s="57"/>
    </row>
    <row r="262" ht="15.75" customHeight="1">
      <c r="A262" s="57"/>
      <c r="B262" s="28"/>
      <c r="C262" s="57"/>
      <c r="D262" s="57"/>
      <c r="M262" s="58"/>
      <c r="P262" s="28"/>
      <c r="Q262" s="58"/>
      <c r="R262" s="58"/>
      <c r="S262" s="28"/>
      <c r="T262" s="58"/>
      <c r="U262" s="58"/>
      <c r="V262" s="58"/>
      <c r="W262" s="58"/>
      <c r="AQ262" s="57"/>
    </row>
    <row r="263" ht="15.75" customHeight="1">
      <c r="A263" s="57"/>
      <c r="B263" s="28"/>
      <c r="C263" s="57"/>
      <c r="D263" s="57"/>
      <c r="M263" s="58"/>
      <c r="P263" s="28"/>
      <c r="Q263" s="58"/>
      <c r="R263" s="58"/>
      <c r="S263" s="28"/>
      <c r="T263" s="58"/>
      <c r="U263" s="58"/>
      <c r="V263" s="58"/>
      <c r="W263" s="58"/>
      <c r="AQ263" s="57"/>
    </row>
    <row r="264" ht="15.75" customHeight="1">
      <c r="A264" s="57"/>
      <c r="B264" s="28"/>
      <c r="C264" s="57"/>
      <c r="D264" s="57"/>
      <c r="M264" s="58"/>
      <c r="P264" s="28"/>
      <c r="Q264" s="58"/>
      <c r="R264" s="58"/>
      <c r="S264" s="28"/>
      <c r="T264" s="58"/>
      <c r="U264" s="58"/>
      <c r="V264" s="58"/>
      <c r="W264" s="58"/>
      <c r="AQ264" s="57"/>
    </row>
    <row r="265" ht="15.75" customHeight="1">
      <c r="A265" s="57"/>
      <c r="B265" s="28"/>
      <c r="C265" s="57"/>
      <c r="D265" s="57"/>
      <c r="M265" s="58"/>
      <c r="P265" s="28"/>
      <c r="Q265" s="58"/>
      <c r="R265" s="58"/>
      <c r="S265" s="28"/>
      <c r="T265" s="58"/>
      <c r="U265" s="58"/>
      <c r="V265" s="58"/>
      <c r="W265" s="58"/>
      <c r="AQ265" s="57"/>
    </row>
    <row r="266" ht="15.75" customHeight="1">
      <c r="A266" s="57"/>
      <c r="B266" s="28"/>
      <c r="C266" s="57"/>
      <c r="D266" s="57"/>
      <c r="M266" s="58"/>
      <c r="P266" s="28"/>
      <c r="Q266" s="58"/>
      <c r="R266" s="58"/>
      <c r="S266" s="28"/>
      <c r="T266" s="58"/>
      <c r="U266" s="58"/>
      <c r="V266" s="58"/>
      <c r="W266" s="58"/>
      <c r="AQ266" s="57"/>
    </row>
    <row r="267" ht="15.75" customHeight="1">
      <c r="A267" s="57"/>
      <c r="B267" s="28"/>
      <c r="C267" s="57"/>
      <c r="D267" s="57"/>
      <c r="M267" s="58"/>
      <c r="P267" s="28"/>
      <c r="Q267" s="58"/>
      <c r="R267" s="58"/>
      <c r="S267" s="28"/>
      <c r="T267" s="58"/>
      <c r="U267" s="58"/>
      <c r="V267" s="58"/>
      <c r="W267" s="58"/>
      <c r="AQ267" s="57"/>
    </row>
    <row r="268" ht="15.75" customHeight="1">
      <c r="A268" s="57"/>
      <c r="B268" s="28"/>
      <c r="C268" s="57"/>
      <c r="D268" s="57"/>
      <c r="M268" s="58"/>
      <c r="P268" s="28"/>
      <c r="Q268" s="58"/>
      <c r="R268" s="58"/>
      <c r="S268" s="28"/>
      <c r="T268" s="58"/>
      <c r="U268" s="58"/>
      <c r="V268" s="58"/>
      <c r="W268" s="58"/>
      <c r="AQ268" s="57"/>
    </row>
    <row r="269" ht="15.75" customHeight="1">
      <c r="A269" s="57"/>
      <c r="B269" s="28"/>
      <c r="C269" s="57"/>
      <c r="D269" s="57"/>
      <c r="M269" s="58"/>
      <c r="P269" s="28"/>
      <c r="Q269" s="58"/>
      <c r="R269" s="58"/>
      <c r="S269" s="28"/>
      <c r="T269" s="58"/>
      <c r="U269" s="58"/>
      <c r="V269" s="58"/>
      <c r="W269" s="58"/>
      <c r="AQ269" s="57"/>
    </row>
    <row r="270" ht="15.75" customHeight="1">
      <c r="A270" s="57"/>
      <c r="B270" s="28"/>
      <c r="C270" s="57"/>
      <c r="D270" s="57"/>
      <c r="M270" s="58"/>
      <c r="P270" s="28"/>
      <c r="Q270" s="58"/>
      <c r="R270" s="58"/>
      <c r="S270" s="28"/>
      <c r="T270" s="58"/>
      <c r="U270" s="58"/>
      <c r="V270" s="58"/>
      <c r="W270" s="58"/>
      <c r="AQ270" s="57"/>
    </row>
    <row r="271" ht="15.75" customHeight="1">
      <c r="A271" s="57"/>
      <c r="B271" s="28"/>
      <c r="C271" s="57"/>
      <c r="D271" s="57"/>
      <c r="M271" s="58"/>
      <c r="P271" s="28"/>
      <c r="Q271" s="58"/>
      <c r="R271" s="58"/>
      <c r="S271" s="28"/>
      <c r="T271" s="58"/>
      <c r="U271" s="58"/>
      <c r="V271" s="58"/>
      <c r="W271" s="58"/>
      <c r="AQ271" s="57"/>
    </row>
    <row r="272" ht="15.75" customHeight="1">
      <c r="A272" s="57"/>
      <c r="B272" s="28"/>
      <c r="C272" s="57"/>
      <c r="D272" s="57"/>
      <c r="M272" s="58"/>
      <c r="P272" s="28"/>
      <c r="Q272" s="58"/>
      <c r="R272" s="58"/>
      <c r="S272" s="28"/>
      <c r="T272" s="58"/>
      <c r="U272" s="58"/>
      <c r="V272" s="58"/>
      <c r="W272" s="58"/>
      <c r="AQ272" s="57"/>
    </row>
    <row r="273" ht="15.75" customHeight="1">
      <c r="A273" s="57"/>
      <c r="B273" s="28"/>
      <c r="C273" s="57"/>
      <c r="D273" s="57"/>
      <c r="M273" s="58"/>
      <c r="P273" s="28"/>
      <c r="Q273" s="58"/>
      <c r="R273" s="58"/>
      <c r="S273" s="28"/>
      <c r="T273" s="58"/>
      <c r="U273" s="58"/>
      <c r="V273" s="58"/>
      <c r="W273" s="58"/>
      <c r="AQ273" s="57"/>
    </row>
    <row r="274" ht="15.75" customHeight="1">
      <c r="A274" s="57"/>
      <c r="B274" s="28"/>
      <c r="C274" s="57"/>
      <c r="D274" s="57"/>
      <c r="M274" s="58"/>
      <c r="P274" s="28"/>
      <c r="Q274" s="58"/>
      <c r="R274" s="58"/>
      <c r="S274" s="28"/>
      <c r="T274" s="58"/>
      <c r="U274" s="58"/>
      <c r="V274" s="58"/>
      <c r="W274" s="58"/>
      <c r="AQ274" s="57"/>
    </row>
    <row r="275" ht="15.75" customHeight="1">
      <c r="A275" s="57"/>
      <c r="B275" s="28"/>
      <c r="C275" s="57"/>
      <c r="D275" s="57"/>
      <c r="M275" s="58"/>
      <c r="P275" s="28"/>
      <c r="Q275" s="58"/>
      <c r="R275" s="58"/>
      <c r="S275" s="28"/>
      <c r="T275" s="58"/>
      <c r="U275" s="58"/>
      <c r="V275" s="58"/>
      <c r="W275" s="58"/>
      <c r="AQ275" s="57"/>
    </row>
    <row r="276" ht="15.75" customHeight="1">
      <c r="A276" s="57"/>
      <c r="B276" s="28"/>
      <c r="C276" s="57"/>
      <c r="D276" s="57"/>
      <c r="M276" s="58"/>
      <c r="P276" s="28"/>
      <c r="Q276" s="58"/>
      <c r="R276" s="58"/>
      <c r="S276" s="28"/>
      <c r="T276" s="58"/>
      <c r="U276" s="58"/>
      <c r="V276" s="58"/>
      <c r="W276" s="58"/>
      <c r="AQ276" s="57"/>
    </row>
    <row r="277" ht="15.75" customHeight="1">
      <c r="A277" s="57"/>
      <c r="B277" s="28"/>
      <c r="C277" s="57"/>
      <c r="D277" s="57"/>
      <c r="M277" s="58"/>
      <c r="P277" s="28"/>
      <c r="Q277" s="58"/>
      <c r="R277" s="58"/>
      <c r="S277" s="28"/>
      <c r="T277" s="58"/>
      <c r="U277" s="58"/>
      <c r="V277" s="58"/>
      <c r="W277" s="58"/>
      <c r="AQ277" s="57"/>
    </row>
    <row r="278" ht="15.75" customHeight="1">
      <c r="A278" s="57"/>
      <c r="B278" s="28"/>
      <c r="C278" s="57"/>
      <c r="D278" s="57"/>
      <c r="M278" s="58"/>
      <c r="P278" s="28"/>
      <c r="Q278" s="58"/>
      <c r="R278" s="58"/>
      <c r="S278" s="28"/>
      <c r="T278" s="58"/>
      <c r="U278" s="58"/>
      <c r="V278" s="58"/>
      <c r="W278" s="58"/>
      <c r="AQ278" s="57"/>
    </row>
    <row r="279" ht="15.75" customHeight="1">
      <c r="A279" s="57"/>
      <c r="B279" s="28"/>
      <c r="C279" s="57"/>
      <c r="D279" s="57"/>
      <c r="M279" s="58"/>
      <c r="P279" s="28"/>
      <c r="Q279" s="58"/>
      <c r="R279" s="58"/>
      <c r="S279" s="28"/>
      <c r="T279" s="58"/>
      <c r="U279" s="58"/>
      <c r="V279" s="58"/>
      <c r="W279" s="58"/>
      <c r="AQ279" s="57"/>
    </row>
    <row r="280" ht="15.75" customHeight="1">
      <c r="A280" s="57"/>
      <c r="B280" s="28"/>
      <c r="C280" s="57"/>
      <c r="D280" s="57"/>
      <c r="M280" s="58"/>
      <c r="P280" s="28"/>
      <c r="Q280" s="58"/>
      <c r="R280" s="58"/>
      <c r="S280" s="28"/>
      <c r="T280" s="58"/>
      <c r="U280" s="58"/>
      <c r="V280" s="58"/>
      <c r="W280" s="58"/>
      <c r="AQ280" s="57"/>
    </row>
    <row r="281" ht="15.75" customHeight="1">
      <c r="A281" s="57"/>
      <c r="C281" s="57"/>
      <c r="D281" s="57"/>
      <c r="AQ281" s="57"/>
    </row>
    <row r="282" ht="15.75" customHeight="1">
      <c r="A282" s="57"/>
      <c r="C282" s="57"/>
      <c r="D282" s="57"/>
      <c r="AQ282" s="57"/>
    </row>
    <row r="283" ht="15.75" customHeight="1">
      <c r="A283" s="57"/>
      <c r="C283" s="57"/>
      <c r="D283" s="57"/>
      <c r="AQ283" s="57"/>
    </row>
    <row r="284" ht="15.75" customHeight="1">
      <c r="A284" s="57"/>
      <c r="C284" s="57"/>
      <c r="D284" s="57"/>
      <c r="AQ284" s="57"/>
    </row>
    <row r="285" ht="15.75" customHeight="1">
      <c r="A285" s="57"/>
      <c r="C285" s="57"/>
      <c r="D285" s="57"/>
      <c r="AQ285" s="57"/>
    </row>
    <row r="286" ht="15.75" customHeight="1">
      <c r="A286" s="57"/>
      <c r="C286" s="57"/>
      <c r="D286" s="57"/>
      <c r="AQ286" s="57"/>
    </row>
    <row r="287" ht="15.75" customHeight="1">
      <c r="A287" s="57"/>
      <c r="C287" s="57"/>
      <c r="D287" s="57"/>
      <c r="AQ287" s="57"/>
    </row>
    <row r="288" ht="15.75" customHeight="1">
      <c r="A288" s="57"/>
      <c r="C288" s="57"/>
      <c r="D288" s="57"/>
      <c r="AQ288" s="57"/>
    </row>
    <row r="289" ht="15.75" customHeight="1">
      <c r="A289" s="57"/>
      <c r="C289" s="57"/>
      <c r="D289" s="57"/>
      <c r="AQ289" s="57"/>
    </row>
    <row r="290" ht="15.75" customHeight="1">
      <c r="A290" s="57"/>
      <c r="C290" s="57"/>
      <c r="D290" s="57"/>
      <c r="AQ290" s="57"/>
    </row>
    <row r="291" ht="15.75" customHeight="1">
      <c r="A291" s="57"/>
      <c r="C291" s="57"/>
      <c r="D291" s="57"/>
      <c r="AQ291" s="57"/>
    </row>
    <row r="292" ht="15.75" customHeight="1">
      <c r="A292" s="57"/>
      <c r="C292" s="57"/>
      <c r="D292" s="57"/>
      <c r="AQ292" s="57"/>
    </row>
    <row r="293" ht="15.75" customHeight="1">
      <c r="A293" s="57"/>
      <c r="C293" s="57"/>
      <c r="D293" s="57"/>
      <c r="AQ293" s="57"/>
    </row>
    <row r="294" ht="15.75" customHeight="1">
      <c r="A294" s="57"/>
      <c r="C294" s="57"/>
      <c r="D294" s="57"/>
      <c r="AQ294" s="57"/>
    </row>
    <row r="295" ht="15.75" customHeight="1">
      <c r="A295" s="57"/>
      <c r="C295" s="57"/>
      <c r="D295" s="57"/>
      <c r="AQ295" s="57"/>
    </row>
    <row r="296" ht="15.75" customHeight="1">
      <c r="A296" s="57"/>
      <c r="C296" s="57"/>
      <c r="D296" s="57"/>
      <c r="AQ296" s="57"/>
    </row>
    <row r="297" ht="15.75" customHeight="1">
      <c r="A297" s="57"/>
      <c r="C297" s="57"/>
      <c r="D297" s="57"/>
      <c r="AQ297" s="57"/>
    </row>
    <row r="298" ht="15.75" customHeight="1">
      <c r="A298" s="57"/>
      <c r="C298" s="57"/>
      <c r="D298" s="57"/>
      <c r="AQ298" s="57"/>
    </row>
    <row r="299" ht="15.75" customHeight="1">
      <c r="A299" s="57"/>
      <c r="C299" s="57"/>
      <c r="D299" s="57"/>
      <c r="AQ299" s="57"/>
    </row>
    <row r="300" ht="15.75" customHeight="1">
      <c r="A300" s="57"/>
      <c r="C300" s="57"/>
      <c r="D300" s="57"/>
      <c r="AQ300" s="57"/>
    </row>
    <row r="301" ht="15.75" customHeight="1">
      <c r="A301" s="57"/>
      <c r="C301" s="57"/>
      <c r="D301" s="57"/>
      <c r="AQ301" s="57"/>
    </row>
    <row r="302" ht="15.75" customHeight="1">
      <c r="A302" s="57"/>
      <c r="C302" s="57"/>
      <c r="D302" s="57"/>
      <c r="AQ302" s="57"/>
    </row>
    <row r="303" ht="15.75" customHeight="1">
      <c r="A303" s="57"/>
      <c r="C303" s="57"/>
      <c r="D303" s="57"/>
      <c r="AQ303" s="57"/>
    </row>
    <row r="304" ht="15.75" customHeight="1">
      <c r="A304" s="57"/>
      <c r="C304" s="57"/>
      <c r="D304" s="57"/>
      <c r="AQ304" s="57"/>
    </row>
    <row r="305" ht="15.75" customHeight="1">
      <c r="A305" s="57"/>
      <c r="C305" s="57"/>
      <c r="D305" s="57"/>
      <c r="AQ305" s="57"/>
    </row>
    <row r="306" ht="15.75" customHeight="1">
      <c r="A306" s="57"/>
      <c r="C306" s="57"/>
      <c r="D306" s="57"/>
      <c r="AQ306" s="57"/>
    </row>
    <row r="307" ht="15.75" customHeight="1">
      <c r="A307" s="57"/>
      <c r="C307" s="57"/>
      <c r="D307" s="57"/>
      <c r="AQ307" s="57"/>
    </row>
    <row r="308" ht="15.75" customHeight="1">
      <c r="A308" s="57"/>
      <c r="C308" s="57"/>
      <c r="D308" s="57"/>
      <c r="AQ308" s="57"/>
    </row>
    <row r="309" ht="15.75" customHeight="1">
      <c r="A309" s="57"/>
      <c r="C309" s="57"/>
      <c r="D309" s="57"/>
      <c r="AQ309" s="57"/>
    </row>
    <row r="310" ht="15.75" customHeight="1">
      <c r="A310" s="57"/>
      <c r="C310" s="57"/>
      <c r="D310" s="57"/>
      <c r="AQ310" s="57"/>
    </row>
    <row r="311" ht="15.75" customHeight="1">
      <c r="A311" s="57"/>
      <c r="C311" s="57"/>
      <c r="D311" s="57"/>
      <c r="AQ311" s="57"/>
    </row>
    <row r="312" ht="15.75" customHeight="1">
      <c r="A312" s="57"/>
      <c r="C312" s="57"/>
      <c r="D312" s="57"/>
      <c r="AQ312" s="57"/>
    </row>
    <row r="313" ht="15.75" customHeight="1">
      <c r="A313" s="57"/>
      <c r="C313" s="57"/>
      <c r="D313" s="57"/>
      <c r="AQ313" s="57"/>
    </row>
    <row r="314" ht="15.75" customHeight="1">
      <c r="A314" s="57"/>
      <c r="C314" s="57"/>
      <c r="D314" s="57"/>
      <c r="AQ314" s="57"/>
    </row>
    <row r="315" ht="15.75" customHeight="1">
      <c r="A315" s="57"/>
      <c r="C315" s="57"/>
      <c r="D315" s="57"/>
      <c r="AQ315" s="57"/>
    </row>
    <row r="316" ht="15.75" customHeight="1">
      <c r="A316" s="57"/>
      <c r="C316" s="57"/>
      <c r="D316" s="57"/>
      <c r="AQ316" s="57"/>
    </row>
    <row r="317" ht="15.75" customHeight="1">
      <c r="A317" s="57"/>
      <c r="C317" s="57"/>
      <c r="D317" s="57"/>
      <c r="AQ317" s="57"/>
    </row>
    <row r="318" ht="15.75" customHeight="1">
      <c r="A318" s="57"/>
      <c r="C318" s="57"/>
      <c r="D318" s="57"/>
      <c r="AQ318" s="57"/>
    </row>
    <row r="319" ht="15.75" customHeight="1">
      <c r="A319" s="57"/>
      <c r="C319" s="57"/>
      <c r="D319" s="57"/>
      <c r="AQ319" s="57"/>
    </row>
    <row r="320" ht="15.75" customHeight="1">
      <c r="A320" s="57"/>
      <c r="C320" s="57"/>
      <c r="D320" s="57"/>
      <c r="AQ320" s="57"/>
    </row>
    <row r="321" ht="15.75" customHeight="1">
      <c r="A321" s="57"/>
      <c r="C321" s="57"/>
      <c r="D321" s="57"/>
      <c r="AQ321" s="57"/>
    </row>
    <row r="322" ht="15.75" customHeight="1">
      <c r="A322" s="57"/>
      <c r="C322" s="57"/>
      <c r="D322" s="57"/>
      <c r="AQ322" s="57"/>
    </row>
    <row r="323" ht="15.75" customHeight="1">
      <c r="A323" s="57"/>
      <c r="C323" s="57"/>
      <c r="D323" s="57"/>
      <c r="AQ323" s="57"/>
    </row>
    <row r="324" ht="15.75" customHeight="1">
      <c r="A324" s="57"/>
      <c r="C324" s="57"/>
      <c r="D324" s="57"/>
      <c r="AQ324" s="57"/>
    </row>
    <row r="325" ht="15.75" customHeight="1">
      <c r="A325" s="57"/>
      <c r="C325" s="57"/>
      <c r="D325" s="57"/>
      <c r="AQ325" s="57"/>
    </row>
    <row r="326" ht="15.75" customHeight="1">
      <c r="A326" s="57"/>
      <c r="C326" s="57"/>
      <c r="D326" s="57"/>
      <c r="AQ326" s="57"/>
    </row>
    <row r="327" ht="15.75" customHeight="1">
      <c r="A327" s="57"/>
      <c r="C327" s="57"/>
      <c r="D327" s="57"/>
      <c r="AQ327" s="57"/>
    </row>
    <row r="328" ht="15.75" customHeight="1">
      <c r="A328" s="57"/>
      <c r="C328" s="57"/>
      <c r="D328" s="57"/>
      <c r="AQ328" s="57"/>
    </row>
    <row r="329" ht="15.75" customHeight="1">
      <c r="A329" s="57"/>
      <c r="C329" s="57"/>
      <c r="D329" s="57"/>
      <c r="AQ329" s="57"/>
    </row>
    <row r="330" ht="15.75" customHeight="1">
      <c r="A330" s="57"/>
      <c r="C330" s="57"/>
      <c r="D330" s="57"/>
      <c r="AQ330" s="57"/>
    </row>
    <row r="331" ht="15.75" customHeight="1">
      <c r="A331" s="57"/>
      <c r="C331" s="57"/>
      <c r="D331" s="57"/>
      <c r="AQ331" s="57"/>
    </row>
    <row r="332" ht="15.75" customHeight="1">
      <c r="A332" s="57"/>
      <c r="C332" s="57"/>
      <c r="D332" s="57"/>
      <c r="AQ332" s="57"/>
    </row>
    <row r="333" ht="15.75" customHeight="1">
      <c r="A333" s="57"/>
      <c r="C333" s="57"/>
      <c r="D333" s="57"/>
      <c r="AQ333" s="57"/>
    </row>
    <row r="334" ht="15.75" customHeight="1">
      <c r="A334" s="57"/>
      <c r="C334" s="57"/>
      <c r="D334" s="57"/>
      <c r="AQ334" s="57"/>
    </row>
    <row r="335" ht="15.75" customHeight="1">
      <c r="A335" s="57"/>
      <c r="C335" s="57"/>
      <c r="D335" s="57"/>
      <c r="AQ335" s="57"/>
    </row>
    <row r="336" ht="15.75" customHeight="1">
      <c r="A336" s="57"/>
      <c r="C336" s="57"/>
      <c r="D336" s="57"/>
      <c r="AQ336" s="57"/>
    </row>
    <row r="337" ht="15.75" customHeight="1">
      <c r="A337" s="57"/>
      <c r="C337" s="57"/>
      <c r="D337" s="57"/>
      <c r="AQ337" s="57"/>
    </row>
    <row r="338" ht="15.75" customHeight="1">
      <c r="A338" s="57"/>
      <c r="C338" s="57"/>
      <c r="D338" s="57"/>
      <c r="AQ338" s="57"/>
    </row>
    <row r="339" ht="15.75" customHeight="1">
      <c r="A339" s="57"/>
      <c r="C339" s="57"/>
      <c r="D339" s="57"/>
      <c r="AQ339" s="57"/>
    </row>
    <row r="340" ht="15.75" customHeight="1">
      <c r="A340" s="57"/>
      <c r="C340" s="57"/>
      <c r="D340" s="57"/>
      <c r="AQ340" s="57"/>
    </row>
    <row r="341" ht="15.75" customHeight="1">
      <c r="A341" s="57"/>
      <c r="C341" s="57"/>
      <c r="D341" s="57"/>
      <c r="AQ341" s="57"/>
    </row>
    <row r="342" ht="15.75" customHeight="1">
      <c r="A342" s="57"/>
      <c r="C342" s="57"/>
      <c r="D342" s="57"/>
      <c r="AQ342" s="57"/>
    </row>
    <row r="343" ht="15.75" customHeight="1">
      <c r="A343" s="57"/>
      <c r="C343" s="57"/>
      <c r="D343" s="57"/>
      <c r="AQ343" s="57"/>
    </row>
    <row r="344" ht="15.75" customHeight="1">
      <c r="A344" s="57"/>
      <c r="C344" s="57"/>
      <c r="D344" s="57"/>
      <c r="AQ344" s="57"/>
    </row>
    <row r="345" ht="15.75" customHeight="1">
      <c r="A345" s="57"/>
      <c r="C345" s="57"/>
      <c r="D345" s="57"/>
      <c r="AQ345" s="57"/>
    </row>
    <row r="346" ht="15.75" customHeight="1">
      <c r="A346" s="57"/>
      <c r="C346" s="57"/>
      <c r="D346" s="57"/>
      <c r="AQ346" s="57"/>
    </row>
    <row r="347" ht="15.75" customHeight="1">
      <c r="A347" s="57"/>
      <c r="C347" s="57"/>
      <c r="D347" s="57"/>
      <c r="AQ347" s="57"/>
    </row>
    <row r="348" ht="15.75" customHeight="1">
      <c r="A348" s="57"/>
      <c r="C348" s="57"/>
      <c r="D348" s="57"/>
      <c r="AQ348" s="57"/>
    </row>
    <row r="349" ht="15.75" customHeight="1">
      <c r="A349" s="57"/>
      <c r="C349" s="57"/>
      <c r="D349" s="57"/>
      <c r="AQ349" s="57"/>
    </row>
    <row r="350" ht="15.75" customHeight="1">
      <c r="A350" s="57"/>
      <c r="C350" s="57"/>
      <c r="D350" s="57"/>
      <c r="AQ350" s="57"/>
    </row>
    <row r="351" ht="15.75" customHeight="1">
      <c r="A351" s="57"/>
      <c r="C351" s="57"/>
      <c r="D351" s="57"/>
      <c r="AQ351" s="57"/>
    </row>
    <row r="352" ht="15.75" customHeight="1">
      <c r="A352" s="57"/>
      <c r="C352" s="57"/>
      <c r="D352" s="57"/>
      <c r="AQ352" s="57"/>
    </row>
    <row r="353" ht="15.75" customHeight="1">
      <c r="A353" s="57"/>
      <c r="C353" s="57"/>
      <c r="D353" s="57"/>
      <c r="AQ353" s="57"/>
    </row>
    <row r="354" ht="15.75" customHeight="1">
      <c r="A354" s="57"/>
      <c r="C354" s="57"/>
      <c r="D354" s="57"/>
      <c r="AQ354" s="57"/>
    </row>
    <row r="355" ht="15.75" customHeight="1">
      <c r="A355" s="57"/>
      <c r="C355" s="57"/>
      <c r="D355" s="57"/>
      <c r="AQ355" s="57"/>
    </row>
    <row r="356" ht="15.75" customHeight="1">
      <c r="A356" s="57"/>
      <c r="C356" s="57"/>
      <c r="D356" s="57"/>
      <c r="AQ356" s="57"/>
    </row>
    <row r="357" ht="15.75" customHeight="1">
      <c r="A357" s="57"/>
      <c r="C357" s="57"/>
      <c r="D357" s="57"/>
      <c r="AQ357" s="57"/>
    </row>
    <row r="358" ht="15.75" customHeight="1">
      <c r="A358" s="57"/>
      <c r="C358" s="57"/>
      <c r="D358" s="57"/>
      <c r="AQ358" s="57"/>
    </row>
    <row r="359" ht="15.75" customHeight="1">
      <c r="A359" s="57"/>
      <c r="C359" s="57"/>
      <c r="D359" s="57"/>
      <c r="AQ359" s="57"/>
    </row>
    <row r="360" ht="15.75" customHeight="1">
      <c r="A360" s="57"/>
      <c r="C360" s="57"/>
      <c r="D360" s="57"/>
      <c r="AQ360" s="57"/>
    </row>
    <row r="361" ht="15.75" customHeight="1">
      <c r="A361" s="57"/>
      <c r="C361" s="57"/>
      <c r="D361" s="57"/>
      <c r="AQ361" s="57"/>
    </row>
    <row r="362" ht="15.75" customHeight="1">
      <c r="A362" s="57"/>
      <c r="C362" s="57"/>
      <c r="D362" s="57"/>
      <c r="AQ362" s="57"/>
    </row>
    <row r="363" ht="15.75" customHeight="1">
      <c r="A363" s="57"/>
      <c r="C363" s="57"/>
      <c r="D363" s="57"/>
      <c r="AQ363" s="57"/>
    </row>
    <row r="364" ht="15.75" customHeight="1">
      <c r="A364" s="57"/>
      <c r="C364" s="57"/>
      <c r="D364" s="57"/>
      <c r="AQ364" s="57"/>
    </row>
    <row r="365" ht="15.75" customHeight="1">
      <c r="A365" s="57"/>
      <c r="C365" s="57"/>
      <c r="D365" s="57"/>
      <c r="AQ365" s="57"/>
    </row>
    <row r="366" ht="15.75" customHeight="1">
      <c r="A366" s="57"/>
      <c r="C366" s="57"/>
      <c r="D366" s="57"/>
      <c r="AQ366" s="57"/>
    </row>
    <row r="367" ht="15.75" customHeight="1">
      <c r="A367" s="57"/>
      <c r="C367" s="57"/>
      <c r="D367" s="57"/>
      <c r="AQ367" s="57"/>
    </row>
    <row r="368" ht="15.75" customHeight="1">
      <c r="A368" s="57"/>
      <c r="C368" s="57"/>
      <c r="D368" s="57"/>
      <c r="AQ368" s="57"/>
    </row>
    <row r="369" ht="15.75" customHeight="1">
      <c r="A369" s="57"/>
      <c r="C369" s="57"/>
      <c r="D369" s="57"/>
      <c r="AQ369" s="57"/>
    </row>
    <row r="370" ht="15.75" customHeight="1">
      <c r="A370" s="57"/>
      <c r="C370" s="57"/>
      <c r="D370" s="57"/>
      <c r="AQ370" s="57"/>
    </row>
    <row r="371" ht="15.75" customHeight="1">
      <c r="A371" s="57"/>
      <c r="C371" s="57"/>
      <c r="D371" s="57"/>
      <c r="AQ371" s="57"/>
    </row>
    <row r="372" ht="15.75" customHeight="1">
      <c r="A372" s="57"/>
      <c r="C372" s="57"/>
      <c r="D372" s="57"/>
      <c r="AQ372" s="57"/>
    </row>
    <row r="373" ht="15.75" customHeight="1">
      <c r="A373" s="57"/>
      <c r="C373" s="57"/>
      <c r="D373" s="57"/>
      <c r="AQ373" s="57"/>
    </row>
    <row r="374" ht="15.75" customHeight="1">
      <c r="A374" s="57"/>
      <c r="C374" s="57"/>
      <c r="D374" s="57"/>
      <c r="AQ374" s="57"/>
    </row>
    <row r="375" ht="15.75" customHeight="1">
      <c r="A375" s="57"/>
      <c r="C375" s="57"/>
      <c r="D375" s="57"/>
      <c r="AQ375" s="57"/>
    </row>
    <row r="376" ht="15.75" customHeight="1">
      <c r="A376" s="57"/>
      <c r="C376" s="57"/>
      <c r="D376" s="57"/>
      <c r="AQ376" s="57"/>
    </row>
    <row r="377" ht="15.75" customHeight="1">
      <c r="A377" s="57"/>
      <c r="C377" s="57"/>
      <c r="D377" s="57"/>
      <c r="AQ377" s="57"/>
    </row>
    <row r="378" ht="15.75" customHeight="1">
      <c r="A378" s="57"/>
      <c r="C378" s="57"/>
      <c r="D378" s="57"/>
      <c r="AQ378" s="57"/>
    </row>
    <row r="379" ht="15.75" customHeight="1">
      <c r="A379" s="57"/>
      <c r="C379" s="57"/>
      <c r="D379" s="57"/>
      <c r="AQ379" s="57"/>
    </row>
    <row r="380" ht="15.75" customHeight="1">
      <c r="A380" s="57"/>
      <c r="C380" s="57"/>
      <c r="D380" s="57"/>
      <c r="AQ380" s="57"/>
    </row>
    <row r="381" ht="15.75" customHeight="1">
      <c r="A381" s="57"/>
      <c r="C381" s="57"/>
      <c r="D381" s="57"/>
      <c r="AQ381" s="57"/>
    </row>
    <row r="382" ht="15.75" customHeight="1">
      <c r="A382" s="57"/>
      <c r="C382" s="57"/>
      <c r="D382" s="57"/>
      <c r="AQ382" s="57"/>
    </row>
    <row r="383" ht="15.75" customHeight="1">
      <c r="A383" s="57"/>
      <c r="C383" s="57"/>
      <c r="D383" s="57"/>
      <c r="AQ383" s="57"/>
    </row>
    <row r="384" ht="15.75" customHeight="1">
      <c r="A384" s="57"/>
      <c r="C384" s="57"/>
      <c r="D384" s="57"/>
      <c r="AQ384" s="57"/>
    </row>
    <row r="385" ht="15.75" customHeight="1">
      <c r="A385" s="57"/>
      <c r="C385" s="57"/>
      <c r="D385" s="57"/>
      <c r="AQ385" s="57"/>
    </row>
    <row r="386" ht="15.75" customHeight="1">
      <c r="A386" s="57"/>
      <c r="C386" s="57"/>
      <c r="D386" s="57"/>
      <c r="AQ386" s="57"/>
    </row>
    <row r="387" ht="15.75" customHeight="1">
      <c r="A387" s="57"/>
      <c r="C387" s="57"/>
      <c r="D387" s="57"/>
      <c r="AQ387" s="57"/>
    </row>
    <row r="388" ht="15.75" customHeight="1">
      <c r="A388" s="57"/>
      <c r="C388" s="57"/>
      <c r="D388" s="57"/>
      <c r="AQ388" s="57"/>
    </row>
    <row r="389" ht="15.75" customHeight="1">
      <c r="A389" s="57"/>
      <c r="C389" s="57"/>
      <c r="D389" s="57"/>
      <c r="AQ389" s="57"/>
    </row>
    <row r="390" ht="15.75" customHeight="1">
      <c r="A390" s="57"/>
      <c r="C390" s="57"/>
      <c r="D390" s="57"/>
      <c r="AQ390" s="57"/>
    </row>
    <row r="391" ht="15.75" customHeight="1">
      <c r="A391" s="57"/>
      <c r="C391" s="57"/>
      <c r="D391" s="57"/>
      <c r="AQ391" s="57"/>
    </row>
    <row r="392" ht="15.75" customHeight="1">
      <c r="A392" s="57"/>
      <c r="C392" s="57"/>
      <c r="D392" s="57"/>
      <c r="AQ392" s="57"/>
    </row>
    <row r="393" ht="15.75" customHeight="1">
      <c r="A393" s="57"/>
      <c r="C393" s="57"/>
      <c r="D393" s="57"/>
      <c r="AQ393" s="57"/>
    </row>
    <row r="394" ht="15.75" customHeight="1">
      <c r="A394" s="57"/>
      <c r="C394" s="57"/>
      <c r="D394" s="57"/>
      <c r="AQ394" s="57"/>
    </row>
    <row r="395" ht="15.75" customHeight="1">
      <c r="A395" s="57"/>
      <c r="C395" s="57"/>
      <c r="D395" s="57"/>
      <c r="AQ395" s="57"/>
    </row>
    <row r="396" ht="15.75" customHeight="1">
      <c r="A396" s="57"/>
      <c r="C396" s="57"/>
      <c r="D396" s="57"/>
      <c r="AQ396" s="57"/>
    </row>
    <row r="397" ht="15.75" customHeight="1">
      <c r="A397" s="57"/>
      <c r="C397" s="57"/>
      <c r="D397" s="57"/>
      <c r="AQ397" s="57"/>
    </row>
    <row r="398" ht="15.75" customHeight="1">
      <c r="A398" s="57"/>
      <c r="C398" s="57"/>
      <c r="D398" s="57"/>
      <c r="AQ398" s="57"/>
    </row>
    <row r="399" ht="15.75" customHeight="1">
      <c r="A399" s="57"/>
      <c r="C399" s="57"/>
      <c r="D399" s="57"/>
      <c r="AQ399" s="57"/>
    </row>
    <row r="400" ht="15.75" customHeight="1">
      <c r="A400" s="57"/>
      <c r="C400" s="57"/>
      <c r="D400" s="57"/>
      <c r="AQ400" s="57"/>
    </row>
    <row r="401" ht="15.75" customHeight="1">
      <c r="A401" s="57"/>
      <c r="C401" s="57"/>
      <c r="D401" s="57"/>
      <c r="AQ401" s="57"/>
    </row>
    <row r="402" ht="15.75" customHeight="1">
      <c r="A402" s="57"/>
      <c r="C402" s="57"/>
      <c r="D402" s="57"/>
      <c r="AQ402" s="57"/>
    </row>
    <row r="403" ht="15.75" customHeight="1">
      <c r="A403" s="57"/>
      <c r="C403" s="57"/>
      <c r="D403" s="57"/>
      <c r="AQ403" s="57"/>
    </row>
    <row r="404" ht="15.75" customHeight="1">
      <c r="A404" s="57"/>
      <c r="C404" s="57"/>
      <c r="D404" s="57"/>
      <c r="AQ404" s="57"/>
    </row>
    <row r="405" ht="15.75" customHeight="1">
      <c r="A405" s="57"/>
      <c r="C405" s="57"/>
      <c r="D405" s="57"/>
      <c r="AQ405" s="57"/>
    </row>
    <row r="406" ht="15.75" customHeight="1">
      <c r="A406" s="57"/>
      <c r="C406" s="57"/>
      <c r="D406" s="57"/>
      <c r="AQ406" s="57"/>
    </row>
    <row r="407" ht="15.75" customHeight="1">
      <c r="A407" s="57"/>
      <c r="C407" s="57"/>
      <c r="D407" s="57"/>
      <c r="AQ407" s="57"/>
    </row>
    <row r="408" ht="15.75" customHeight="1">
      <c r="A408" s="57"/>
      <c r="C408" s="57"/>
      <c r="D408" s="57"/>
      <c r="AQ408" s="57"/>
    </row>
    <row r="409" ht="15.75" customHeight="1">
      <c r="A409" s="57"/>
      <c r="C409" s="57"/>
      <c r="D409" s="57"/>
      <c r="AQ409" s="57"/>
    </row>
    <row r="410" ht="15.75" customHeight="1">
      <c r="A410" s="57"/>
      <c r="C410" s="57"/>
      <c r="D410" s="57"/>
      <c r="AQ410" s="57"/>
    </row>
    <row r="411" ht="15.75" customHeight="1">
      <c r="A411" s="57"/>
      <c r="C411" s="57"/>
      <c r="D411" s="57"/>
      <c r="AQ411" s="57"/>
    </row>
    <row r="412" ht="15.75" customHeight="1">
      <c r="A412" s="57"/>
      <c r="C412" s="57"/>
      <c r="D412" s="57"/>
      <c r="AQ412" s="57"/>
    </row>
    <row r="413" ht="15.75" customHeight="1">
      <c r="A413" s="57"/>
      <c r="C413" s="57"/>
      <c r="D413" s="57"/>
      <c r="AQ413" s="57"/>
    </row>
    <row r="414" ht="15.75" customHeight="1">
      <c r="A414" s="57"/>
      <c r="C414" s="57"/>
      <c r="D414" s="57"/>
      <c r="AQ414" s="57"/>
    </row>
    <row r="415" ht="15.75" customHeight="1">
      <c r="A415" s="57"/>
      <c r="C415" s="57"/>
      <c r="D415" s="57"/>
      <c r="AQ415" s="57"/>
    </row>
    <row r="416" ht="15.75" customHeight="1">
      <c r="A416" s="57"/>
      <c r="C416" s="57"/>
      <c r="D416" s="57"/>
      <c r="AQ416" s="57"/>
    </row>
    <row r="417" ht="15.75" customHeight="1">
      <c r="A417" s="57"/>
      <c r="C417" s="57"/>
      <c r="D417" s="57"/>
      <c r="AQ417" s="57"/>
    </row>
    <row r="418" ht="15.75" customHeight="1">
      <c r="A418" s="57"/>
      <c r="C418" s="57"/>
      <c r="D418" s="57"/>
      <c r="AQ418" s="57"/>
    </row>
    <row r="419" ht="15.75" customHeight="1">
      <c r="A419" s="57"/>
      <c r="C419" s="57"/>
      <c r="D419" s="57"/>
      <c r="AQ419" s="57"/>
    </row>
    <row r="420" ht="15.75" customHeight="1">
      <c r="A420" s="57"/>
      <c r="C420" s="57"/>
      <c r="D420" s="57"/>
      <c r="AQ420" s="57"/>
    </row>
    <row r="421" ht="15.75" customHeight="1">
      <c r="A421" s="57"/>
      <c r="C421" s="57"/>
      <c r="D421" s="57"/>
      <c r="AQ421" s="57"/>
    </row>
    <row r="422" ht="15.75" customHeight="1">
      <c r="A422" s="57"/>
      <c r="C422" s="57"/>
      <c r="D422" s="57"/>
      <c r="AQ422" s="57"/>
    </row>
    <row r="423" ht="15.75" customHeight="1">
      <c r="A423" s="57"/>
      <c r="C423" s="57"/>
      <c r="D423" s="57"/>
      <c r="AQ423" s="57"/>
    </row>
    <row r="424" ht="15.75" customHeight="1">
      <c r="A424" s="57"/>
      <c r="C424" s="57"/>
      <c r="D424" s="57"/>
      <c r="AQ424" s="57"/>
    </row>
    <row r="425" ht="15.75" customHeight="1">
      <c r="A425" s="57"/>
      <c r="C425" s="57"/>
      <c r="D425" s="57"/>
      <c r="AQ425" s="57"/>
    </row>
    <row r="426" ht="15.75" customHeight="1">
      <c r="A426" s="57"/>
      <c r="C426" s="57"/>
      <c r="D426" s="57"/>
      <c r="AQ426" s="57"/>
    </row>
    <row r="427" ht="15.75" customHeight="1">
      <c r="A427" s="57"/>
      <c r="C427" s="57"/>
      <c r="D427" s="57"/>
      <c r="AQ427" s="57"/>
    </row>
    <row r="428" ht="15.75" customHeight="1">
      <c r="A428" s="57"/>
      <c r="C428" s="57"/>
      <c r="D428" s="57"/>
      <c r="AQ428" s="57"/>
    </row>
    <row r="429" ht="15.75" customHeight="1">
      <c r="A429" s="57"/>
      <c r="C429" s="57"/>
      <c r="D429" s="57"/>
      <c r="AQ429" s="57"/>
    </row>
    <row r="430" ht="15.75" customHeight="1">
      <c r="A430" s="57"/>
      <c r="C430" s="57"/>
      <c r="D430" s="57"/>
      <c r="AQ430" s="57"/>
    </row>
    <row r="431" ht="15.75" customHeight="1">
      <c r="A431" s="57"/>
      <c r="C431" s="57"/>
      <c r="D431" s="57"/>
      <c r="AQ431" s="57"/>
    </row>
    <row r="432" ht="15.75" customHeight="1">
      <c r="A432" s="57"/>
      <c r="C432" s="57"/>
      <c r="D432" s="57"/>
      <c r="AQ432" s="57"/>
    </row>
    <row r="433" ht="15.75" customHeight="1">
      <c r="A433" s="57"/>
      <c r="C433" s="57"/>
      <c r="D433" s="57"/>
      <c r="AQ433" s="57"/>
    </row>
    <row r="434" ht="15.75" customHeight="1">
      <c r="A434" s="57"/>
      <c r="C434" s="57"/>
      <c r="D434" s="57"/>
      <c r="AQ434" s="57"/>
    </row>
    <row r="435" ht="15.75" customHeight="1">
      <c r="A435" s="57"/>
      <c r="C435" s="57"/>
      <c r="D435" s="57"/>
      <c r="AQ435" s="57"/>
    </row>
    <row r="436" ht="15.75" customHeight="1">
      <c r="A436" s="57"/>
      <c r="C436" s="57"/>
      <c r="D436" s="57"/>
      <c r="AQ436" s="57"/>
    </row>
    <row r="437" ht="15.75" customHeight="1">
      <c r="A437" s="57"/>
      <c r="C437" s="57"/>
      <c r="D437" s="57"/>
      <c r="AQ437" s="57"/>
    </row>
    <row r="438" ht="15.75" customHeight="1">
      <c r="A438" s="57"/>
      <c r="C438" s="57"/>
      <c r="D438" s="57"/>
      <c r="AQ438" s="57"/>
    </row>
    <row r="439" ht="15.75" customHeight="1">
      <c r="A439" s="57"/>
      <c r="C439" s="57"/>
      <c r="D439" s="57"/>
      <c r="AQ439" s="57"/>
    </row>
    <row r="440" ht="15.75" customHeight="1">
      <c r="A440" s="57"/>
      <c r="C440" s="57"/>
      <c r="D440" s="57"/>
      <c r="AQ440" s="57"/>
    </row>
    <row r="441" ht="15.75" customHeight="1">
      <c r="A441" s="57"/>
      <c r="C441" s="57"/>
      <c r="D441" s="57"/>
      <c r="AQ441" s="57"/>
    </row>
    <row r="442" ht="15.75" customHeight="1">
      <c r="A442" s="57"/>
      <c r="C442" s="57"/>
      <c r="D442" s="57"/>
      <c r="AQ442" s="57"/>
    </row>
    <row r="443" ht="15.75" customHeight="1">
      <c r="A443" s="57"/>
      <c r="C443" s="57"/>
      <c r="D443" s="57"/>
      <c r="AQ443" s="57"/>
    </row>
    <row r="444" ht="15.75" customHeight="1">
      <c r="A444" s="57"/>
      <c r="C444" s="57"/>
      <c r="D444" s="57"/>
      <c r="AQ444" s="57"/>
    </row>
    <row r="445" ht="15.75" customHeight="1">
      <c r="A445" s="57"/>
      <c r="C445" s="57"/>
      <c r="D445" s="57"/>
      <c r="AQ445" s="57"/>
    </row>
    <row r="446" ht="15.75" customHeight="1">
      <c r="A446" s="57"/>
      <c r="C446" s="57"/>
      <c r="D446" s="57"/>
      <c r="AQ446" s="57"/>
    </row>
    <row r="447" ht="15.75" customHeight="1">
      <c r="A447" s="57"/>
      <c r="C447" s="57"/>
      <c r="D447" s="57"/>
      <c r="AQ447" s="57"/>
    </row>
    <row r="448" ht="15.75" customHeight="1">
      <c r="A448" s="57"/>
      <c r="C448" s="57"/>
      <c r="D448" s="57"/>
      <c r="AQ448" s="57"/>
    </row>
    <row r="449" ht="15.75" customHeight="1">
      <c r="A449" s="57"/>
      <c r="C449" s="57"/>
      <c r="D449" s="57"/>
      <c r="AQ449" s="57"/>
    </row>
    <row r="450" ht="15.75" customHeight="1">
      <c r="A450" s="57"/>
      <c r="C450" s="57"/>
      <c r="D450" s="57"/>
      <c r="AQ450" s="57"/>
    </row>
    <row r="451" ht="15.75" customHeight="1">
      <c r="A451" s="57"/>
      <c r="C451" s="57"/>
      <c r="D451" s="57"/>
      <c r="AQ451" s="57"/>
    </row>
    <row r="452" ht="15.75" customHeight="1">
      <c r="A452" s="57"/>
      <c r="C452" s="57"/>
      <c r="D452" s="57"/>
      <c r="AQ452" s="57"/>
    </row>
    <row r="453" ht="15.75" customHeight="1">
      <c r="A453" s="57"/>
      <c r="C453" s="57"/>
      <c r="D453" s="57"/>
      <c r="AQ453" s="57"/>
    </row>
    <row r="454" ht="15.75" customHeight="1">
      <c r="A454" s="57"/>
      <c r="C454" s="57"/>
      <c r="D454" s="57"/>
      <c r="AQ454" s="57"/>
    </row>
    <row r="455" ht="15.75" customHeight="1">
      <c r="A455" s="57"/>
      <c r="C455" s="57"/>
      <c r="D455" s="57"/>
      <c r="AQ455" s="57"/>
    </row>
    <row r="456" ht="15.75" customHeight="1">
      <c r="A456" s="57"/>
      <c r="C456" s="57"/>
      <c r="D456" s="57"/>
      <c r="AQ456" s="57"/>
    </row>
    <row r="457" ht="15.75" customHeight="1">
      <c r="A457" s="57"/>
      <c r="C457" s="57"/>
      <c r="D457" s="57"/>
      <c r="AQ457" s="57"/>
    </row>
    <row r="458" ht="15.75" customHeight="1">
      <c r="A458" s="57"/>
      <c r="C458" s="57"/>
      <c r="D458" s="57"/>
      <c r="AQ458" s="57"/>
    </row>
    <row r="459" ht="15.75" customHeight="1">
      <c r="A459" s="57"/>
      <c r="C459" s="57"/>
      <c r="D459" s="57"/>
      <c r="AQ459" s="57"/>
    </row>
    <row r="460" ht="15.75" customHeight="1">
      <c r="A460" s="57"/>
      <c r="C460" s="57"/>
      <c r="D460" s="57"/>
      <c r="AQ460" s="57"/>
    </row>
    <row r="461" ht="15.75" customHeight="1">
      <c r="A461" s="57"/>
      <c r="C461" s="57"/>
      <c r="D461" s="57"/>
      <c r="AQ461" s="57"/>
    </row>
    <row r="462" ht="15.75" customHeight="1">
      <c r="A462" s="57"/>
      <c r="C462" s="57"/>
      <c r="D462" s="57"/>
      <c r="AQ462" s="57"/>
    </row>
    <row r="463" ht="15.75" customHeight="1">
      <c r="A463" s="57"/>
      <c r="C463" s="57"/>
      <c r="D463" s="57"/>
      <c r="AQ463" s="57"/>
    </row>
    <row r="464" ht="15.75" customHeight="1">
      <c r="A464" s="57"/>
      <c r="C464" s="57"/>
      <c r="D464" s="57"/>
      <c r="AQ464" s="57"/>
    </row>
    <row r="465" ht="15.75" customHeight="1">
      <c r="A465" s="57"/>
      <c r="C465" s="57"/>
      <c r="D465" s="57"/>
      <c r="AQ465" s="57"/>
    </row>
    <row r="466" ht="15.75" customHeight="1">
      <c r="A466" s="57"/>
      <c r="C466" s="57"/>
      <c r="D466" s="57"/>
      <c r="AQ466" s="57"/>
    </row>
    <row r="467" ht="15.75" customHeight="1">
      <c r="A467" s="57"/>
      <c r="C467" s="57"/>
      <c r="D467" s="57"/>
      <c r="AQ467" s="57"/>
    </row>
    <row r="468" ht="15.75" customHeight="1">
      <c r="A468" s="57"/>
      <c r="C468" s="57"/>
      <c r="D468" s="57"/>
      <c r="AQ468" s="57"/>
    </row>
    <row r="469" ht="15.75" customHeight="1">
      <c r="A469" s="57"/>
      <c r="C469" s="57"/>
      <c r="D469" s="57"/>
      <c r="AQ469" s="57"/>
    </row>
    <row r="470" ht="15.75" customHeight="1">
      <c r="A470" s="57"/>
      <c r="C470" s="57"/>
      <c r="D470" s="57"/>
      <c r="AQ470" s="57"/>
    </row>
    <row r="471" ht="15.75" customHeight="1">
      <c r="A471" s="57"/>
      <c r="C471" s="57"/>
      <c r="D471" s="57"/>
      <c r="AQ471" s="57"/>
    </row>
    <row r="472" ht="15.75" customHeight="1">
      <c r="A472" s="57"/>
      <c r="C472" s="57"/>
      <c r="D472" s="57"/>
      <c r="AQ472" s="57"/>
    </row>
    <row r="473" ht="15.75" customHeight="1">
      <c r="A473" s="57"/>
      <c r="C473" s="57"/>
      <c r="D473" s="57"/>
      <c r="AQ473" s="57"/>
    </row>
    <row r="474" ht="15.75" customHeight="1">
      <c r="A474" s="57"/>
      <c r="C474" s="57"/>
      <c r="D474" s="57"/>
      <c r="AQ474" s="57"/>
    </row>
    <row r="475" ht="15.75" customHeight="1">
      <c r="A475" s="57"/>
      <c r="C475" s="57"/>
      <c r="D475" s="57"/>
      <c r="AQ475" s="57"/>
    </row>
    <row r="476" ht="15.75" customHeight="1">
      <c r="A476" s="57"/>
      <c r="C476" s="57"/>
      <c r="D476" s="57"/>
      <c r="AQ476" s="57"/>
    </row>
    <row r="477" ht="15.75" customHeight="1">
      <c r="A477" s="57"/>
      <c r="C477" s="57"/>
      <c r="D477" s="57"/>
      <c r="AQ477" s="57"/>
    </row>
    <row r="478" ht="15.75" customHeight="1">
      <c r="A478" s="57"/>
      <c r="C478" s="57"/>
      <c r="D478" s="57"/>
      <c r="AQ478" s="57"/>
    </row>
    <row r="479" ht="15.75" customHeight="1">
      <c r="A479" s="57"/>
      <c r="C479" s="57"/>
      <c r="D479" s="57"/>
      <c r="AQ479" s="57"/>
    </row>
    <row r="480" ht="15.75" customHeight="1">
      <c r="A480" s="57"/>
      <c r="C480" s="57"/>
      <c r="D480" s="57"/>
      <c r="AQ480" s="57"/>
    </row>
    <row r="481" ht="15.75" customHeight="1">
      <c r="A481" s="57"/>
      <c r="C481" s="57"/>
      <c r="D481" s="57"/>
      <c r="AQ481" s="57"/>
    </row>
    <row r="482" ht="15.75" customHeight="1">
      <c r="A482" s="57"/>
      <c r="C482" s="57"/>
      <c r="D482" s="57"/>
      <c r="AQ482" s="57"/>
    </row>
    <row r="483" ht="15.75" customHeight="1">
      <c r="A483" s="57"/>
      <c r="C483" s="57"/>
      <c r="D483" s="57"/>
      <c r="AQ483" s="57"/>
    </row>
    <row r="484" ht="15.75" customHeight="1">
      <c r="A484" s="57"/>
      <c r="C484" s="57"/>
      <c r="D484" s="57"/>
      <c r="AQ484" s="57"/>
    </row>
    <row r="485" ht="15.75" customHeight="1">
      <c r="A485" s="57"/>
      <c r="C485" s="57"/>
      <c r="D485" s="57"/>
      <c r="AQ485" s="57"/>
    </row>
    <row r="486" ht="15.75" customHeight="1">
      <c r="A486" s="57"/>
      <c r="C486" s="57"/>
      <c r="D486" s="57"/>
      <c r="AQ486" s="57"/>
    </row>
    <row r="487" ht="15.75" customHeight="1">
      <c r="A487" s="57"/>
      <c r="C487" s="57"/>
      <c r="D487" s="57"/>
      <c r="AQ487" s="57"/>
    </row>
    <row r="488" ht="15.75" customHeight="1">
      <c r="A488" s="57"/>
      <c r="C488" s="57"/>
      <c r="D488" s="57"/>
      <c r="AQ488" s="57"/>
    </row>
    <row r="489" ht="15.75" customHeight="1">
      <c r="A489" s="57"/>
      <c r="C489" s="57"/>
      <c r="D489" s="57"/>
      <c r="AQ489" s="57"/>
    </row>
    <row r="490" ht="15.75" customHeight="1">
      <c r="A490" s="57"/>
      <c r="C490" s="57"/>
      <c r="D490" s="57"/>
      <c r="AQ490" s="57"/>
    </row>
    <row r="491" ht="15.75" customHeight="1">
      <c r="A491" s="57"/>
      <c r="C491" s="57"/>
      <c r="D491" s="57"/>
      <c r="AQ491" s="57"/>
    </row>
    <row r="492" ht="15.75" customHeight="1">
      <c r="A492" s="57"/>
      <c r="C492" s="57"/>
      <c r="D492" s="57"/>
      <c r="AQ492" s="57"/>
    </row>
    <row r="493" ht="15.75" customHeight="1">
      <c r="A493" s="57"/>
      <c r="C493" s="57"/>
      <c r="D493" s="57"/>
      <c r="AQ493" s="57"/>
    </row>
    <row r="494" ht="15.75" customHeight="1">
      <c r="A494" s="57"/>
      <c r="C494" s="57"/>
      <c r="D494" s="57"/>
      <c r="AQ494" s="57"/>
    </row>
    <row r="495" ht="15.75" customHeight="1">
      <c r="A495" s="57"/>
      <c r="C495" s="57"/>
      <c r="D495" s="57"/>
      <c r="AQ495" s="57"/>
    </row>
    <row r="496" ht="15.75" customHeight="1">
      <c r="A496" s="57"/>
      <c r="C496" s="57"/>
      <c r="D496" s="57"/>
      <c r="AQ496" s="57"/>
    </row>
    <row r="497" ht="15.75" customHeight="1">
      <c r="A497" s="57"/>
      <c r="C497" s="57"/>
      <c r="D497" s="57"/>
      <c r="AQ497" s="57"/>
    </row>
    <row r="498" ht="15.75" customHeight="1">
      <c r="A498" s="57"/>
      <c r="C498" s="57"/>
      <c r="D498" s="57"/>
      <c r="AQ498" s="57"/>
    </row>
    <row r="499" ht="15.75" customHeight="1">
      <c r="A499" s="57"/>
      <c r="C499" s="57"/>
      <c r="D499" s="57"/>
      <c r="AQ499" s="57"/>
    </row>
    <row r="500" ht="15.75" customHeight="1">
      <c r="A500" s="57"/>
      <c r="C500" s="57"/>
      <c r="D500" s="57"/>
      <c r="AQ500" s="57"/>
    </row>
    <row r="501" ht="15.75" customHeight="1">
      <c r="A501" s="57"/>
      <c r="C501" s="57"/>
      <c r="D501" s="57"/>
      <c r="AQ501" s="57"/>
    </row>
    <row r="502" ht="15.75" customHeight="1">
      <c r="A502" s="57"/>
      <c r="C502" s="57"/>
      <c r="D502" s="57"/>
      <c r="AQ502" s="57"/>
    </row>
    <row r="503" ht="15.75" customHeight="1">
      <c r="A503" s="57"/>
      <c r="C503" s="57"/>
      <c r="D503" s="57"/>
      <c r="AQ503" s="57"/>
    </row>
    <row r="504" ht="15.75" customHeight="1">
      <c r="A504" s="57"/>
      <c r="C504" s="57"/>
      <c r="D504" s="57"/>
      <c r="AQ504" s="57"/>
    </row>
    <row r="505" ht="15.75" customHeight="1">
      <c r="A505" s="57"/>
      <c r="C505" s="57"/>
      <c r="D505" s="57"/>
      <c r="AQ505" s="57"/>
    </row>
    <row r="506" ht="15.75" customHeight="1">
      <c r="A506" s="57"/>
      <c r="C506" s="57"/>
      <c r="D506" s="57"/>
      <c r="AQ506" s="57"/>
    </row>
    <row r="507" ht="15.75" customHeight="1">
      <c r="A507" s="57"/>
      <c r="C507" s="57"/>
      <c r="D507" s="57"/>
      <c r="AQ507" s="57"/>
    </row>
    <row r="508" ht="15.75" customHeight="1">
      <c r="A508" s="57"/>
      <c r="C508" s="57"/>
      <c r="D508" s="57"/>
      <c r="AQ508" s="57"/>
    </row>
    <row r="509" ht="15.75" customHeight="1">
      <c r="A509" s="57"/>
      <c r="C509" s="57"/>
      <c r="D509" s="57"/>
      <c r="AQ509" s="57"/>
    </row>
    <row r="510" ht="15.75" customHeight="1">
      <c r="A510" s="57"/>
      <c r="C510" s="57"/>
      <c r="D510" s="57"/>
      <c r="AQ510" s="57"/>
    </row>
    <row r="511" ht="15.75" customHeight="1">
      <c r="A511" s="57"/>
      <c r="C511" s="57"/>
      <c r="D511" s="57"/>
      <c r="AQ511" s="57"/>
    </row>
    <row r="512" ht="15.75" customHeight="1">
      <c r="A512" s="57"/>
      <c r="C512" s="57"/>
      <c r="D512" s="57"/>
      <c r="AQ512" s="57"/>
    </row>
    <row r="513" ht="15.75" customHeight="1">
      <c r="A513" s="57"/>
      <c r="C513" s="57"/>
      <c r="D513" s="57"/>
      <c r="AQ513" s="57"/>
    </row>
    <row r="514" ht="15.75" customHeight="1">
      <c r="A514" s="57"/>
      <c r="C514" s="57"/>
      <c r="D514" s="57"/>
      <c r="AQ514" s="57"/>
    </row>
    <row r="515" ht="15.75" customHeight="1">
      <c r="A515" s="57"/>
      <c r="C515" s="57"/>
      <c r="D515" s="57"/>
      <c r="AQ515" s="57"/>
    </row>
    <row r="516" ht="15.75" customHeight="1">
      <c r="A516" s="57"/>
      <c r="C516" s="57"/>
      <c r="D516" s="57"/>
      <c r="AQ516" s="57"/>
    </row>
    <row r="517" ht="15.75" customHeight="1">
      <c r="A517" s="57"/>
      <c r="C517" s="57"/>
      <c r="D517" s="57"/>
      <c r="AQ517" s="57"/>
    </row>
    <row r="518" ht="15.75" customHeight="1">
      <c r="A518" s="57"/>
      <c r="C518" s="57"/>
      <c r="D518" s="57"/>
      <c r="AQ518" s="57"/>
    </row>
    <row r="519" ht="15.75" customHeight="1">
      <c r="A519" s="57"/>
      <c r="C519" s="57"/>
      <c r="D519" s="57"/>
      <c r="AQ519" s="57"/>
    </row>
    <row r="520" ht="15.75" customHeight="1">
      <c r="A520" s="57"/>
      <c r="C520" s="57"/>
      <c r="D520" s="57"/>
      <c r="AQ520" s="57"/>
    </row>
    <row r="521" ht="15.75" customHeight="1">
      <c r="A521" s="57"/>
      <c r="C521" s="57"/>
      <c r="D521" s="57"/>
      <c r="AQ521" s="57"/>
    </row>
    <row r="522" ht="15.75" customHeight="1">
      <c r="A522" s="57"/>
      <c r="C522" s="57"/>
      <c r="D522" s="57"/>
      <c r="AQ522" s="57"/>
    </row>
    <row r="523" ht="15.75" customHeight="1">
      <c r="A523" s="57"/>
      <c r="C523" s="57"/>
      <c r="D523" s="57"/>
      <c r="AQ523" s="57"/>
    </row>
    <row r="524" ht="15.75" customHeight="1">
      <c r="A524" s="57"/>
      <c r="C524" s="57"/>
      <c r="D524" s="57"/>
      <c r="AQ524" s="57"/>
    </row>
    <row r="525" ht="15.75" customHeight="1">
      <c r="A525" s="57"/>
      <c r="C525" s="57"/>
      <c r="D525" s="57"/>
      <c r="AQ525" s="57"/>
    </row>
    <row r="526" ht="15.75" customHeight="1">
      <c r="A526" s="57"/>
      <c r="C526" s="57"/>
      <c r="D526" s="57"/>
      <c r="AQ526" s="57"/>
    </row>
    <row r="527" ht="15.75" customHeight="1">
      <c r="A527" s="57"/>
      <c r="C527" s="57"/>
      <c r="D527" s="57"/>
      <c r="AQ527" s="57"/>
    </row>
    <row r="528" ht="15.75" customHeight="1">
      <c r="A528" s="57"/>
      <c r="C528" s="57"/>
      <c r="D528" s="57"/>
      <c r="AQ528" s="57"/>
    </row>
    <row r="529" ht="15.75" customHeight="1">
      <c r="A529" s="57"/>
      <c r="C529" s="57"/>
      <c r="D529" s="57"/>
      <c r="AQ529" s="57"/>
    </row>
    <row r="530" ht="15.75" customHeight="1">
      <c r="A530" s="57"/>
      <c r="C530" s="57"/>
      <c r="D530" s="57"/>
      <c r="AQ530" s="57"/>
    </row>
    <row r="531" ht="15.75" customHeight="1">
      <c r="A531" s="57"/>
      <c r="C531" s="57"/>
      <c r="D531" s="57"/>
      <c r="AQ531" s="57"/>
    </row>
    <row r="532" ht="15.75" customHeight="1">
      <c r="A532" s="57"/>
      <c r="C532" s="57"/>
      <c r="D532" s="57"/>
      <c r="AQ532" s="57"/>
    </row>
    <row r="533" ht="15.75" customHeight="1">
      <c r="A533" s="57"/>
      <c r="C533" s="57"/>
      <c r="D533" s="57"/>
      <c r="AQ533" s="57"/>
    </row>
    <row r="534" ht="15.75" customHeight="1">
      <c r="A534" s="57"/>
      <c r="C534" s="57"/>
      <c r="D534" s="57"/>
      <c r="AQ534" s="57"/>
    </row>
    <row r="535" ht="15.75" customHeight="1">
      <c r="A535" s="57"/>
      <c r="C535" s="57"/>
      <c r="D535" s="57"/>
      <c r="AQ535" s="57"/>
    </row>
    <row r="536" ht="15.75" customHeight="1">
      <c r="A536" s="57"/>
      <c r="C536" s="57"/>
      <c r="D536" s="57"/>
      <c r="AQ536" s="57"/>
    </row>
    <row r="537" ht="15.75" customHeight="1">
      <c r="A537" s="57"/>
      <c r="C537" s="57"/>
      <c r="D537" s="57"/>
      <c r="AQ537" s="57"/>
    </row>
    <row r="538" ht="15.75" customHeight="1">
      <c r="A538" s="57"/>
      <c r="C538" s="57"/>
      <c r="D538" s="57"/>
      <c r="AQ538" s="57"/>
    </row>
    <row r="539" ht="15.75" customHeight="1">
      <c r="A539" s="57"/>
      <c r="C539" s="57"/>
      <c r="D539" s="57"/>
      <c r="AQ539" s="57"/>
    </row>
    <row r="540" ht="15.75" customHeight="1">
      <c r="A540" s="57"/>
      <c r="C540" s="57"/>
      <c r="D540" s="57"/>
      <c r="AQ540" s="57"/>
    </row>
    <row r="541" ht="15.75" customHeight="1">
      <c r="A541" s="57"/>
      <c r="C541" s="57"/>
      <c r="D541" s="57"/>
      <c r="AQ541" s="57"/>
    </row>
    <row r="542" ht="15.75" customHeight="1">
      <c r="A542" s="57"/>
      <c r="C542" s="57"/>
      <c r="D542" s="57"/>
      <c r="AQ542" s="57"/>
    </row>
    <row r="543" ht="15.75" customHeight="1">
      <c r="A543" s="57"/>
      <c r="C543" s="57"/>
      <c r="D543" s="57"/>
      <c r="AQ543" s="57"/>
    </row>
    <row r="544" ht="15.75" customHeight="1">
      <c r="A544" s="57"/>
      <c r="C544" s="57"/>
      <c r="D544" s="57"/>
      <c r="AQ544" s="57"/>
    </row>
    <row r="545" ht="15.75" customHeight="1">
      <c r="A545" s="57"/>
      <c r="C545" s="57"/>
      <c r="D545" s="57"/>
      <c r="AQ545" s="57"/>
    </row>
    <row r="546" ht="15.75" customHeight="1">
      <c r="A546" s="57"/>
      <c r="C546" s="57"/>
      <c r="D546" s="57"/>
      <c r="AQ546" s="57"/>
    </row>
    <row r="547" ht="15.75" customHeight="1">
      <c r="A547" s="57"/>
      <c r="C547" s="57"/>
      <c r="D547" s="57"/>
      <c r="AQ547" s="57"/>
    </row>
    <row r="548" ht="15.75" customHeight="1">
      <c r="A548" s="57"/>
      <c r="C548" s="57"/>
      <c r="D548" s="57"/>
      <c r="AQ548" s="57"/>
    </row>
    <row r="549" ht="15.75" customHeight="1">
      <c r="A549" s="57"/>
      <c r="C549" s="57"/>
      <c r="D549" s="57"/>
      <c r="AQ549" s="57"/>
    </row>
    <row r="550" ht="15.75" customHeight="1">
      <c r="A550" s="57"/>
      <c r="C550" s="57"/>
      <c r="D550" s="57"/>
      <c r="AQ550" s="57"/>
    </row>
    <row r="551" ht="15.75" customHeight="1">
      <c r="A551" s="57"/>
      <c r="C551" s="57"/>
      <c r="D551" s="57"/>
      <c r="AQ551" s="57"/>
    </row>
    <row r="552" ht="15.75" customHeight="1">
      <c r="A552" s="57"/>
      <c r="C552" s="57"/>
      <c r="D552" s="57"/>
      <c r="AQ552" s="57"/>
    </row>
    <row r="553" ht="15.75" customHeight="1">
      <c r="A553" s="57"/>
      <c r="C553" s="57"/>
      <c r="D553" s="57"/>
      <c r="AQ553" s="57"/>
    </row>
    <row r="554" ht="15.75" customHeight="1">
      <c r="A554" s="57"/>
      <c r="C554" s="57"/>
      <c r="D554" s="57"/>
      <c r="AQ554" s="57"/>
    </row>
    <row r="555" ht="15.75" customHeight="1">
      <c r="A555" s="57"/>
      <c r="C555" s="57"/>
      <c r="D555" s="57"/>
      <c r="AQ555" s="57"/>
    </row>
    <row r="556" ht="15.75" customHeight="1">
      <c r="A556" s="57"/>
      <c r="C556" s="57"/>
      <c r="D556" s="57"/>
      <c r="AQ556" s="57"/>
    </row>
    <row r="557" ht="15.75" customHeight="1">
      <c r="A557" s="57"/>
      <c r="C557" s="57"/>
      <c r="D557" s="57"/>
      <c r="AQ557" s="57"/>
    </row>
    <row r="558" ht="15.75" customHeight="1">
      <c r="A558" s="57"/>
      <c r="C558" s="57"/>
      <c r="D558" s="57"/>
      <c r="AQ558" s="57"/>
    </row>
    <row r="559" ht="15.75" customHeight="1">
      <c r="A559" s="57"/>
      <c r="C559" s="57"/>
      <c r="D559" s="57"/>
      <c r="AQ559" s="57"/>
    </row>
    <row r="560" ht="15.75" customHeight="1">
      <c r="A560" s="57"/>
      <c r="C560" s="57"/>
      <c r="D560" s="57"/>
      <c r="AQ560" s="57"/>
    </row>
    <row r="561" ht="15.75" customHeight="1">
      <c r="A561" s="57"/>
      <c r="C561" s="57"/>
      <c r="D561" s="57"/>
      <c r="AQ561" s="57"/>
    </row>
    <row r="562" ht="15.75" customHeight="1">
      <c r="A562" s="57"/>
      <c r="C562" s="57"/>
      <c r="D562" s="57"/>
      <c r="AQ562" s="57"/>
    </row>
    <row r="563" ht="15.75" customHeight="1">
      <c r="A563" s="57"/>
      <c r="C563" s="57"/>
      <c r="D563" s="57"/>
      <c r="AQ563" s="57"/>
    </row>
    <row r="564" ht="15.75" customHeight="1">
      <c r="A564" s="57"/>
      <c r="C564" s="57"/>
      <c r="D564" s="57"/>
      <c r="AQ564" s="57"/>
    </row>
    <row r="565" ht="15.75" customHeight="1">
      <c r="A565" s="57"/>
      <c r="C565" s="57"/>
      <c r="D565" s="57"/>
      <c r="AQ565" s="57"/>
    </row>
    <row r="566" ht="15.75" customHeight="1">
      <c r="A566" s="57"/>
      <c r="C566" s="57"/>
      <c r="D566" s="57"/>
      <c r="AQ566" s="57"/>
    </row>
    <row r="567" ht="15.75" customHeight="1">
      <c r="A567" s="57"/>
      <c r="C567" s="57"/>
      <c r="D567" s="57"/>
      <c r="AQ567" s="57"/>
    </row>
    <row r="568" ht="15.75" customHeight="1">
      <c r="A568" s="57"/>
      <c r="C568" s="57"/>
      <c r="D568" s="57"/>
      <c r="AQ568" s="57"/>
    </row>
    <row r="569" ht="15.75" customHeight="1">
      <c r="A569" s="57"/>
      <c r="C569" s="57"/>
      <c r="D569" s="57"/>
      <c r="AQ569" s="57"/>
    </row>
    <row r="570" ht="15.75" customHeight="1">
      <c r="A570" s="57"/>
      <c r="C570" s="57"/>
      <c r="D570" s="57"/>
      <c r="AQ570" s="57"/>
    </row>
    <row r="571" ht="15.75" customHeight="1">
      <c r="A571" s="57"/>
      <c r="C571" s="57"/>
      <c r="D571" s="57"/>
      <c r="AQ571" s="57"/>
    </row>
    <row r="572" ht="15.75" customHeight="1">
      <c r="A572" s="57"/>
      <c r="C572" s="57"/>
      <c r="D572" s="57"/>
      <c r="AQ572" s="57"/>
    </row>
    <row r="573" ht="15.75" customHeight="1">
      <c r="A573" s="57"/>
      <c r="C573" s="57"/>
      <c r="D573" s="57"/>
      <c r="AQ573" s="57"/>
    </row>
    <row r="574" ht="15.75" customHeight="1">
      <c r="A574" s="57"/>
      <c r="C574" s="57"/>
      <c r="D574" s="57"/>
      <c r="AQ574" s="57"/>
    </row>
    <row r="575" ht="15.75" customHeight="1">
      <c r="A575" s="57"/>
      <c r="C575" s="57"/>
      <c r="D575" s="57"/>
      <c r="AQ575" s="57"/>
    </row>
    <row r="576" ht="15.75" customHeight="1">
      <c r="A576" s="57"/>
      <c r="C576" s="57"/>
      <c r="D576" s="57"/>
      <c r="AQ576" s="57"/>
    </row>
    <row r="577" ht="15.75" customHeight="1">
      <c r="A577" s="57"/>
      <c r="C577" s="57"/>
      <c r="D577" s="57"/>
      <c r="AQ577" s="57"/>
    </row>
    <row r="578" ht="15.75" customHeight="1">
      <c r="A578" s="57"/>
      <c r="C578" s="57"/>
      <c r="D578" s="57"/>
      <c r="AQ578" s="57"/>
    </row>
    <row r="579" ht="15.75" customHeight="1">
      <c r="A579" s="57"/>
      <c r="C579" s="57"/>
      <c r="D579" s="57"/>
      <c r="AQ579" s="57"/>
    </row>
    <row r="580" ht="15.75" customHeight="1">
      <c r="A580" s="57"/>
      <c r="C580" s="57"/>
      <c r="D580" s="57"/>
      <c r="AQ580" s="57"/>
    </row>
    <row r="581" ht="15.75" customHeight="1">
      <c r="A581" s="57"/>
      <c r="C581" s="57"/>
      <c r="D581" s="57"/>
      <c r="AQ581" s="57"/>
    </row>
    <row r="582" ht="15.75" customHeight="1">
      <c r="A582" s="57"/>
      <c r="C582" s="57"/>
      <c r="D582" s="57"/>
      <c r="AQ582" s="57"/>
    </row>
    <row r="583" ht="15.75" customHeight="1">
      <c r="A583" s="57"/>
      <c r="C583" s="57"/>
      <c r="D583" s="57"/>
      <c r="AQ583" s="57"/>
    </row>
    <row r="584" ht="15.75" customHeight="1">
      <c r="A584" s="57"/>
      <c r="C584" s="57"/>
      <c r="D584" s="57"/>
      <c r="AQ584" s="57"/>
    </row>
    <row r="585" ht="15.75" customHeight="1">
      <c r="A585" s="57"/>
      <c r="C585" s="57"/>
      <c r="D585" s="57"/>
      <c r="AQ585" s="57"/>
    </row>
    <row r="586" ht="15.75" customHeight="1">
      <c r="A586" s="57"/>
      <c r="C586" s="57"/>
      <c r="D586" s="57"/>
      <c r="AQ586" s="57"/>
    </row>
    <row r="587" ht="15.75" customHeight="1">
      <c r="A587" s="57"/>
      <c r="C587" s="57"/>
      <c r="D587" s="57"/>
      <c r="AQ587" s="57"/>
    </row>
    <row r="588" ht="15.75" customHeight="1">
      <c r="A588" s="57"/>
      <c r="C588" s="57"/>
      <c r="D588" s="57"/>
      <c r="AQ588" s="57"/>
    </row>
    <row r="589" ht="15.75" customHeight="1">
      <c r="A589" s="57"/>
      <c r="C589" s="57"/>
      <c r="D589" s="57"/>
      <c r="AQ589" s="57"/>
    </row>
    <row r="590" ht="15.75" customHeight="1">
      <c r="A590" s="57"/>
      <c r="C590" s="57"/>
      <c r="D590" s="57"/>
      <c r="AQ590" s="57"/>
    </row>
    <row r="591" ht="15.75" customHeight="1">
      <c r="A591" s="57"/>
      <c r="C591" s="57"/>
      <c r="D591" s="57"/>
      <c r="AQ591" s="57"/>
    </row>
    <row r="592" ht="15.75" customHeight="1">
      <c r="A592" s="57"/>
      <c r="C592" s="57"/>
      <c r="D592" s="57"/>
      <c r="AQ592" s="57"/>
    </row>
    <row r="593" ht="15.75" customHeight="1">
      <c r="A593" s="57"/>
      <c r="C593" s="57"/>
      <c r="D593" s="57"/>
      <c r="AQ593" s="57"/>
    </row>
    <row r="594" ht="15.75" customHeight="1">
      <c r="A594" s="57"/>
      <c r="C594" s="57"/>
      <c r="D594" s="57"/>
      <c r="AQ594" s="57"/>
    </row>
    <row r="595" ht="15.75" customHeight="1">
      <c r="A595" s="57"/>
      <c r="C595" s="57"/>
      <c r="D595" s="57"/>
      <c r="AQ595" s="57"/>
    </row>
    <row r="596" ht="15.75" customHeight="1">
      <c r="A596" s="57"/>
      <c r="C596" s="57"/>
      <c r="D596" s="57"/>
      <c r="AQ596" s="57"/>
    </row>
    <row r="597" ht="15.75" customHeight="1">
      <c r="A597" s="57"/>
      <c r="C597" s="57"/>
      <c r="D597" s="57"/>
      <c r="AQ597" s="57"/>
    </row>
    <row r="598" ht="15.75" customHeight="1">
      <c r="A598" s="57"/>
      <c r="C598" s="57"/>
      <c r="D598" s="57"/>
      <c r="AQ598" s="57"/>
    </row>
    <row r="599" ht="15.75" customHeight="1">
      <c r="A599" s="57"/>
      <c r="C599" s="57"/>
      <c r="D599" s="57"/>
      <c r="AQ599" s="57"/>
    </row>
    <row r="600" ht="15.75" customHeight="1">
      <c r="A600" s="57"/>
      <c r="C600" s="57"/>
      <c r="D600" s="57"/>
      <c r="AQ600" s="57"/>
    </row>
    <row r="601" ht="15.75" customHeight="1">
      <c r="A601" s="57"/>
      <c r="C601" s="57"/>
      <c r="D601" s="57"/>
      <c r="AQ601" s="57"/>
    </row>
    <row r="602" ht="15.75" customHeight="1">
      <c r="A602" s="57"/>
      <c r="C602" s="57"/>
      <c r="D602" s="57"/>
      <c r="AQ602" s="57"/>
    </row>
    <row r="603" ht="15.75" customHeight="1">
      <c r="A603" s="57"/>
      <c r="C603" s="57"/>
      <c r="D603" s="57"/>
      <c r="AQ603" s="57"/>
    </row>
    <row r="604" ht="15.75" customHeight="1">
      <c r="A604" s="57"/>
      <c r="C604" s="57"/>
      <c r="D604" s="57"/>
      <c r="AQ604" s="57"/>
    </row>
    <row r="605" ht="15.75" customHeight="1">
      <c r="A605" s="57"/>
      <c r="C605" s="57"/>
      <c r="D605" s="57"/>
      <c r="AQ605" s="57"/>
    </row>
    <row r="606" ht="15.75" customHeight="1">
      <c r="A606" s="57"/>
      <c r="C606" s="57"/>
      <c r="D606" s="57"/>
      <c r="AQ606" s="57"/>
    </row>
    <row r="607" ht="15.75" customHeight="1">
      <c r="A607" s="57"/>
      <c r="C607" s="57"/>
      <c r="D607" s="57"/>
      <c r="AQ607" s="57"/>
    </row>
    <row r="608" ht="15.75" customHeight="1">
      <c r="A608" s="57"/>
      <c r="C608" s="57"/>
      <c r="D608" s="57"/>
      <c r="AQ608" s="57"/>
    </row>
    <row r="609" ht="15.75" customHeight="1">
      <c r="A609" s="57"/>
      <c r="C609" s="57"/>
      <c r="D609" s="57"/>
      <c r="AQ609" s="57"/>
    </row>
    <row r="610" ht="15.75" customHeight="1">
      <c r="A610" s="57"/>
      <c r="C610" s="57"/>
      <c r="D610" s="57"/>
      <c r="AQ610" s="57"/>
    </row>
    <row r="611" ht="15.75" customHeight="1">
      <c r="A611" s="57"/>
      <c r="C611" s="57"/>
      <c r="D611" s="57"/>
      <c r="AQ611" s="57"/>
    </row>
    <row r="612" ht="15.75" customHeight="1">
      <c r="A612" s="57"/>
      <c r="C612" s="57"/>
      <c r="D612" s="57"/>
      <c r="AQ612" s="57"/>
    </row>
    <row r="613" ht="15.75" customHeight="1">
      <c r="A613" s="57"/>
      <c r="C613" s="57"/>
      <c r="D613" s="57"/>
      <c r="AQ613" s="57"/>
    </row>
    <row r="614" ht="15.75" customHeight="1">
      <c r="A614" s="57"/>
      <c r="C614" s="57"/>
      <c r="D614" s="57"/>
      <c r="AQ614" s="57"/>
    </row>
    <row r="615" ht="15.75" customHeight="1">
      <c r="A615" s="57"/>
      <c r="C615" s="57"/>
      <c r="D615" s="57"/>
      <c r="AQ615" s="57"/>
    </row>
    <row r="616" ht="15.75" customHeight="1">
      <c r="A616" s="57"/>
      <c r="C616" s="57"/>
      <c r="D616" s="57"/>
      <c r="AQ616" s="57"/>
    </row>
    <row r="617" ht="15.75" customHeight="1">
      <c r="A617" s="57"/>
      <c r="C617" s="57"/>
      <c r="D617" s="57"/>
      <c r="AQ617" s="57"/>
    </row>
    <row r="618" ht="15.75" customHeight="1">
      <c r="A618" s="57"/>
      <c r="C618" s="57"/>
      <c r="D618" s="57"/>
      <c r="AQ618" s="57"/>
    </row>
    <row r="619" ht="15.75" customHeight="1">
      <c r="A619" s="57"/>
      <c r="C619" s="57"/>
      <c r="D619" s="57"/>
      <c r="AQ619" s="57"/>
    </row>
    <row r="620" ht="15.75" customHeight="1">
      <c r="A620" s="57"/>
      <c r="C620" s="57"/>
      <c r="D620" s="57"/>
      <c r="AQ620" s="57"/>
    </row>
    <row r="621" ht="15.75" customHeight="1">
      <c r="A621" s="57"/>
      <c r="C621" s="57"/>
      <c r="D621" s="57"/>
      <c r="AQ621" s="57"/>
    </row>
    <row r="622" ht="15.75" customHeight="1">
      <c r="A622" s="57"/>
      <c r="C622" s="57"/>
      <c r="D622" s="57"/>
      <c r="AQ622" s="57"/>
    </row>
    <row r="623" ht="15.75" customHeight="1">
      <c r="A623" s="57"/>
      <c r="C623" s="57"/>
      <c r="D623" s="57"/>
      <c r="AQ623" s="57"/>
    </row>
    <row r="624" ht="15.75" customHeight="1">
      <c r="A624" s="57"/>
      <c r="C624" s="57"/>
      <c r="D624" s="57"/>
      <c r="AQ624" s="57"/>
    </row>
    <row r="625" ht="15.75" customHeight="1">
      <c r="A625" s="57"/>
      <c r="C625" s="57"/>
      <c r="D625" s="57"/>
      <c r="AQ625" s="57"/>
    </row>
    <row r="626" ht="15.75" customHeight="1">
      <c r="A626" s="57"/>
      <c r="C626" s="57"/>
      <c r="D626" s="57"/>
      <c r="AQ626" s="57"/>
    </row>
    <row r="627" ht="15.75" customHeight="1">
      <c r="A627" s="57"/>
      <c r="C627" s="57"/>
      <c r="D627" s="57"/>
      <c r="AQ627" s="57"/>
    </row>
    <row r="628" ht="15.75" customHeight="1">
      <c r="A628" s="57"/>
      <c r="C628" s="57"/>
      <c r="D628" s="57"/>
      <c r="AQ628" s="57"/>
    </row>
    <row r="629" ht="15.75" customHeight="1">
      <c r="A629" s="57"/>
      <c r="C629" s="57"/>
      <c r="D629" s="57"/>
      <c r="AQ629" s="57"/>
    </row>
    <row r="630" ht="15.75" customHeight="1">
      <c r="A630" s="57"/>
      <c r="C630" s="57"/>
      <c r="D630" s="57"/>
      <c r="AQ630" s="57"/>
    </row>
    <row r="631" ht="15.75" customHeight="1">
      <c r="A631" s="57"/>
      <c r="C631" s="57"/>
      <c r="D631" s="57"/>
      <c r="AQ631" s="57"/>
    </row>
    <row r="632" ht="15.75" customHeight="1">
      <c r="A632" s="57"/>
      <c r="C632" s="57"/>
      <c r="D632" s="57"/>
      <c r="AQ632" s="57"/>
    </row>
    <row r="633" ht="15.75" customHeight="1">
      <c r="A633" s="57"/>
      <c r="C633" s="57"/>
      <c r="D633" s="57"/>
      <c r="AQ633" s="57"/>
    </row>
    <row r="634" ht="15.75" customHeight="1">
      <c r="A634" s="57"/>
      <c r="C634" s="57"/>
      <c r="D634" s="57"/>
      <c r="AQ634" s="57"/>
    </row>
    <row r="635" ht="15.75" customHeight="1">
      <c r="A635" s="57"/>
      <c r="C635" s="57"/>
      <c r="D635" s="57"/>
      <c r="AQ635" s="57"/>
    </row>
    <row r="636" ht="15.75" customHeight="1">
      <c r="A636" s="57"/>
      <c r="C636" s="57"/>
      <c r="D636" s="57"/>
      <c r="AQ636" s="57"/>
    </row>
    <row r="637" ht="15.75" customHeight="1">
      <c r="A637" s="57"/>
      <c r="C637" s="57"/>
      <c r="D637" s="57"/>
      <c r="AQ637" s="57"/>
    </row>
    <row r="638" ht="15.75" customHeight="1">
      <c r="A638" s="57"/>
      <c r="C638" s="57"/>
      <c r="D638" s="57"/>
      <c r="AQ638" s="57"/>
    </row>
    <row r="639" ht="15.75" customHeight="1">
      <c r="A639" s="57"/>
      <c r="C639" s="57"/>
      <c r="D639" s="57"/>
      <c r="AQ639" s="57"/>
    </row>
    <row r="640" ht="15.75" customHeight="1">
      <c r="A640" s="57"/>
      <c r="C640" s="57"/>
      <c r="D640" s="57"/>
      <c r="AQ640" s="57"/>
    </row>
    <row r="641" ht="15.75" customHeight="1">
      <c r="A641" s="57"/>
      <c r="C641" s="57"/>
      <c r="D641" s="57"/>
      <c r="AQ641" s="57"/>
    </row>
    <row r="642" ht="15.75" customHeight="1">
      <c r="A642" s="57"/>
      <c r="C642" s="57"/>
      <c r="D642" s="57"/>
      <c r="AQ642" s="57"/>
    </row>
    <row r="643" ht="15.75" customHeight="1">
      <c r="A643" s="57"/>
      <c r="C643" s="57"/>
      <c r="D643" s="57"/>
      <c r="AQ643" s="57"/>
    </row>
    <row r="644" ht="15.75" customHeight="1">
      <c r="A644" s="57"/>
      <c r="C644" s="57"/>
      <c r="D644" s="57"/>
      <c r="AQ644" s="57"/>
    </row>
    <row r="645" ht="15.75" customHeight="1">
      <c r="A645" s="57"/>
      <c r="C645" s="57"/>
      <c r="D645" s="57"/>
      <c r="AQ645" s="57"/>
    </row>
    <row r="646" ht="15.75" customHeight="1">
      <c r="A646" s="57"/>
      <c r="C646" s="57"/>
      <c r="D646" s="57"/>
      <c r="AQ646" s="57"/>
    </row>
    <row r="647" ht="15.75" customHeight="1">
      <c r="A647" s="57"/>
      <c r="C647" s="57"/>
      <c r="D647" s="57"/>
      <c r="AQ647" s="57"/>
    </row>
    <row r="648" ht="15.75" customHeight="1">
      <c r="A648" s="57"/>
      <c r="C648" s="57"/>
      <c r="D648" s="57"/>
      <c r="AQ648" s="57"/>
    </row>
    <row r="649" ht="15.75" customHeight="1">
      <c r="A649" s="57"/>
      <c r="C649" s="57"/>
      <c r="D649" s="57"/>
      <c r="AQ649" s="57"/>
    </row>
    <row r="650" ht="15.75" customHeight="1">
      <c r="A650" s="57"/>
      <c r="C650" s="57"/>
      <c r="D650" s="57"/>
      <c r="AQ650" s="57"/>
    </row>
    <row r="651" ht="15.75" customHeight="1">
      <c r="A651" s="57"/>
      <c r="C651" s="57"/>
      <c r="D651" s="57"/>
      <c r="AQ651" s="57"/>
    </row>
    <row r="652" ht="15.75" customHeight="1">
      <c r="A652" s="57"/>
      <c r="C652" s="57"/>
      <c r="D652" s="57"/>
      <c r="AQ652" s="57"/>
    </row>
    <row r="653" ht="15.75" customHeight="1">
      <c r="A653" s="57"/>
      <c r="C653" s="57"/>
      <c r="D653" s="57"/>
      <c r="AQ653" s="57"/>
    </row>
    <row r="654" ht="15.75" customHeight="1">
      <c r="A654" s="57"/>
      <c r="C654" s="57"/>
      <c r="D654" s="57"/>
      <c r="AQ654" s="57"/>
    </row>
    <row r="655" ht="15.75" customHeight="1">
      <c r="A655" s="57"/>
      <c r="C655" s="57"/>
      <c r="D655" s="57"/>
      <c r="AQ655" s="57"/>
    </row>
    <row r="656" ht="15.75" customHeight="1">
      <c r="A656" s="57"/>
      <c r="C656" s="57"/>
      <c r="D656" s="57"/>
      <c r="AQ656" s="57"/>
    </row>
    <row r="657" ht="15.75" customHeight="1">
      <c r="A657" s="57"/>
      <c r="C657" s="57"/>
      <c r="D657" s="57"/>
      <c r="AQ657" s="57"/>
    </row>
    <row r="658" ht="15.75" customHeight="1">
      <c r="A658" s="57"/>
      <c r="C658" s="57"/>
      <c r="D658" s="57"/>
      <c r="AQ658" s="57"/>
    </row>
    <row r="659" ht="15.75" customHeight="1">
      <c r="A659" s="57"/>
      <c r="C659" s="57"/>
      <c r="D659" s="57"/>
      <c r="AQ659" s="57"/>
    </row>
    <row r="660" ht="15.75" customHeight="1">
      <c r="A660" s="57"/>
      <c r="C660" s="57"/>
      <c r="D660" s="57"/>
      <c r="AQ660" s="57"/>
    </row>
    <row r="661" ht="15.75" customHeight="1">
      <c r="A661" s="57"/>
      <c r="C661" s="57"/>
      <c r="D661" s="57"/>
      <c r="AQ661" s="57"/>
    </row>
    <row r="662" ht="15.75" customHeight="1">
      <c r="A662" s="57"/>
      <c r="C662" s="57"/>
      <c r="D662" s="57"/>
      <c r="AQ662" s="57"/>
    </row>
    <row r="663" ht="15.75" customHeight="1">
      <c r="A663" s="57"/>
      <c r="C663" s="57"/>
      <c r="D663" s="57"/>
      <c r="AQ663" s="57"/>
    </row>
    <row r="664" ht="15.75" customHeight="1">
      <c r="A664" s="57"/>
      <c r="C664" s="57"/>
      <c r="D664" s="57"/>
      <c r="AQ664" s="57"/>
    </row>
    <row r="665" ht="15.75" customHeight="1">
      <c r="A665" s="57"/>
      <c r="C665" s="57"/>
      <c r="D665" s="57"/>
      <c r="AQ665" s="57"/>
    </row>
    <row r="666" ht="15.75" customHeight="1">
      <c r="A666" s="57"/>
      <c r="C666" s="57"/>
      <c r="D666" s="57"/>
      <c r="AQ666" s="57"/>
    </row>
    <row r="667" ht="15.75" customHeight="1">
      <c r="A667" s="57"/>
      <c r="C667" s="57"/>
      <c r="D667" s="57"/>
      <c r="AQ667" s="57"/>
    </row>
    <row r="668" ht="15.75" customHeight="1">
      <c r="A668" s="57"/>
      <c r="C668" s="57"/>
      <c r="D668" s="57"/>
      <c r="AQ668" s="57"/>
    </row>
    <row r="669" ht="15.75" customHeight="1">
      <c r="A669" s="57"/>
      <c r="C669" s="57"/>
      <c r="D669" s="57"/>
      <c r="AQ669" s="57"/>
    </row>
    <row r="670" ht="15.75" customHeight="1">
      <c r="A670" s="57"/>
      <c r="C670" s="57"/>
      <c r="D670" s="57"/>
      <c r="AQ670" s="57"/>
    </row>
    <row r="671" ht="15.75" customHeight="1">
      <c r="A671" s="57"/>
      <c r="C671" s="57"/>
      <c r="D671" s="57"/>
      <c r="AQ671" s="57"/>
    </row>
    <row r="672" ht="15.75" customHeight="1">
      <c r="A672" s="57"/>
      <c r="C672" s="57"/>
      <c r="D672" s="57"/>
      <c r="AQ672" s="57"/>
    </row>
    <row r="673" ht="15.75" customHeight="1">
      <c r="A673" s="57"/>
      <c r="C673" s="57"/>
      <c r="D673" s="57"/>
      <c r="AQ673" s="57"/>
    </row>
    <row r="674" ht="15.75" customHeight="1">
      <c r="A674" s="57"/>
      <c r="C674" s="57"/>
      <c r="D674" s="57"/>
      <c r="AQ674" s="57"/>
    </row>
    <row r="675" ht="15.75" customHeight="1">
      <c r="A675" s="57"/>
      <c r="C675" s="57"/>
      <c r="D675" s="57"/>
      <c r="AQ675" s="57"/>
    </row>
    <row r="676" ht="15.75" customHeight="1">
      <c r="A676" s="57"/>
      <c r="C676" s="57"/>
      <c r="D676" s="57"/>
      <c r="AQ676" s="57"/>
    </row>
    <row r="677" ht="15.75" customHeight="1">
      <c r="A677" s="57"/>
      <c r="C677" s="57"/>
      <c r="D677" s="57"/>
      <c r="AQ677" s="57"/>
    </row>
    <row r="678" ht="15.75" customHeight="1">
      <c r="A678" s="57"/>
      <c r="C678" s="57"/>
      <c r="D678" s="57"/>
      <c r="AQ678" s="57"/>
    </row>
    <row r="679" ht="15.75" customHeight="1">
      <c r="A679" s="57"/>
      <c r="C679" s="57"/>
      <c r="D679" s="57"/>
      <c r="AQ679" s="57"/>
    </row>
    <row r="680" ht="15.75" customHeight="1">
      <c r="A680" s="57"/>
      <c r="C680" s="57"/>
      <c r="D680" s="57"/>
      <c r="AQ680" s="57"/>
    </row>
    <row r="681" ht="15.75" customHeight="1">
      <c r="A681" s="57"/>
      <c r="C681" s="57"/>
      <c r="D681" s="57"/>
      <c r="AQ681" s="57"/>
    </row>
    <row r="682" ht="15.75" customHeight="1">
      <c r="A682" s="57"/>
      <c r="C682" s="57"/>
      <c r="D682" s="57"/>
      <c r="AQ682" s="57"/>
    </row>
    <row r="683" ht="15.75" customHeight="1">
      <c r="A683" s="57"/>
      <c r="C683" s="57"/>
      <c r="D683" s="57"/>
      <c r="AQ683" s="57"/>
    </row>
    <row r="684" ht="15.75" customHeight="1">
      <c r="A684" s="57"/>
      <c r="C684" s="57"/>
      <c r="D684" s="57"/>
      <c r="AQ684" s="57"/>
    </row>
    <row r="685" ht="15.75" customHeight="1">
      <c r="A685" s="57"/>
      <c r="C685" s="57"/>
      <c r="D685" s="57"/>
      <c r="AQ685" s="57"/>
    </row>
    <row r="686" ht="15.75" customHeight="1">
      <c r="A686" s="57"/>
      <c r="C686" s="57"/>
      <c r="D686" s="57"/>
      <c r="AQ686" s="57"/>
    </row>
    <row r="687" ht="15.75" customHeight="1">
      <c r="A687" s="57"/>
      <c r="C687" s="57"/>
      <c r="D687" s="57"/>
      <c r="AQ687" s="57"/>
    </row>
    <row r="688" ht="15.75" customHeight="1">
      <c r="A688" s="57"/>
      <c r="C688" s="57"/>
      <c r="D688" s="57"/>
      <c r="AQ688" s="57"/>
    </row>
    <row r="689" ht="15.75" customHeight="1">
      <c r="A689" s="57"/>
      <c r="C689" s="57"/>
      <c r="D689" s="57"/>
      <c r="AQ689" s="57"/>
    </row>
    <row r="690" ht="15.75" customHeight="1">
      <c r="A690" s="57"/>
      <c r="C690" s="57"/>
      <c r="D690" s="57"/>
      <c r="AQ690" s="57"/>
    </row>
    <row r="691" ht="15.75" customHeight="1">
      <c r="A691" s="57"/>
      <c r="C691" s="57"/>
      <c r="D691" s="57"/>
      <c r="AQ691" s="57"/>
    </row>
    <row r="692" ht="15.75" customHeight="1">
      <c r="A692" s="57"/>
      <c r="C692" s="57"/>
      <c r="D692" s="57"/>
      <c r="AQ692" s="57"/>
    </row>
    <row r="693" ht="15.75" customHeight="1">
      <c r="A693" s="57"/>
      <c r="C693" s="57"/>
      <c r="D693" s="57"/>
      <c r="AQ693" s="57"/>
    </row>
    <row r="694" ht="15.75" customHeight="1">
      <c r="A694" s="57"/>
      <c r="C694" s="57"/>
      <c r="D694" s="57"/>
      <c r="AQ694" s="57"/>
    </row>
    <row r="695" ht="15.75" customHeight="1">
      <c r="A695" s="57"/>
      <c r="C695" s="57"/>
      <c r="D695" s="57"/>
      <c r="AQ695" s="57"/>
    </row>
    <row r="696" ht="15.75" customHeight="1">
      <c r="A696" s="57"/>
      <c r="C696" s="57"/>
      <c r="D696" s="57"/>
      <c r="AQ696" s="57"/>
    </row>
    <row r="697" ht="15.75" customHeight="1">
      <c r="A697" s="57"/>
      <c r="C697" s="57"/>
      <c r="D697" s="57"/>
      <c r="AQ697" s="57"/>
    </row>
    <row r="698" ht="15.75" customHeight="1">
      <c r="A698" s="57"/>
      <c r="C698" s="57"/>
      <c r="D698" s="57"/>
      <c r="AQ698" s="57"/>
    </row>
    <row r="699" ht="15.75" customHeight="1">
      <c r="A699" s="57"/>
      <c r="C699" s="57"/>
      <c r="D699" s="57"/>
      <c r="AQ699" s="57"/>
    </row>
    <row r="700" ht="15.75" customHeight="1">
      <c r="A700" s="57"/>
      <c r="C700" s="57"/>
      <c r="D700" s="57"/>
      <c r="AQ700" s="57"/>
    </row>
    <row r="701" ht="15.75" customHeight="1">
      <c r="A701" s="57"/>
      <c r="C701" s="57"/>
      <c r="D701" s="57"/>
      <c r="AQ701" s="57"/>
    </row>
    <row r="702" ht="15.75" customHeight="1">
      <c r="A702" s="57"/>
      <c r="C702" s="57"/>
      <c r="D702" s="57"/>
      <c r="AQ702" s="57"/>
    </row>
    <row r="703" ht="15.75" customHeight="1">
      <c r="A703" s="57"/>
      <c r="C703" s="57"/>
      <c r="D703" s="57"/>
      <c r="AQ703" s="57"/>
    </row>
    <row r="704" ht="15.75" customHeight="1">
      <c r="A704" s="57"/>
      <c r="C704" s="57"/>
      <c r="D704" s="57"/>
      <c r="AQ704" s="57"/>
    </row>
    <row r="705" ht="15.75" customHeight="1">
      <c r="A705" s="57"/>
      <c r="C705" s="57"/>
      <c r="D705" s="57"/>
      <c r="AQ705" s="57"/>
    </row>
    <row r="706" ht="15.75" customHeight="1">
      <c r="A706" s="57"/>
      <c r="C706" s="57"/>
      <c r="D706" s="57"/>
      <c r="AQ706" s="57"/>
    </row>
    <row r="707" ht="15.75" customHeight="1">
      <c r="A707" s="57"/>
      <c r="C707" s="57"/>
      <c r="D707" s="57"/>
      <c r="AQ707" s="57"/>
    </row>
    <row r="708" ht="15.75" customHeight="1">
      <c r="A708" s="57"/>
      <c r="C708" s="57"/>
      <c r="D708" s="57"/>
      <c r="AQ708" s="57"/>
    </row>
    <row r="709" ht="15.75" customHeight="1">
      <c r="A709" s="57"/>
      <c r="C709" s="57"/>
      <c r="D709" s="57"/>
      <c r="AQ709" s="57"/>
    </row>
    <row r="710" ht="15.75" customHeight="1">
      <c r="A710" s="57"/>
      <c r="C710" s="57"/>
      <c r="D710" s="57"/>
      <c r="AQ710" s="57"/>
    </row>
    <row r="711" ht="15.75" customHeight="1">
      <c r="A711" s="57"/>
      <c r="C711" s="57"/>
      <c r="D711" s="57"/>
      <c r="AQ711" s="57"/>
    </row>
    <row r="712" ht="15.75" customHeight="1">
      <c r="A712" s="57"/>
      <c r="C712" s="57"/>
      <c r="D712" s="57"/>
      <c r="AQ712" s="57"/>
    </row>
    <row r="713" ht="15.75" customHeight="1">
      <c r="A713" s="57"/>
      <c r="C713" s="57"/>
      <c r="D713" s="57"/>
      <c r="AQ713" s="57"/>
    </row>
    <row r="714" ht="15.75" customHeight="1">
      <c r="A714" s="57"/>
      <c r="C714" s="57"/>
      <c r="D714" s="57"/>
      <c r="AQ714" s="57"/>
    </row>
    <row r="715" ht="15.75" customHeight="1">
      <c r="A715" s="57"/>
      <c r="C715" s="57"/>
      <c r="D715" s="57"/>
      <c r="AQ715" s="57"/>
    </row>
    <row r="716" ht="15.75" customHeight="1">
      <c r="A716" s="57"/>
      <c r="C716" s="57"/>
      <c r="D716" s="57"/>
      <c r="AQ716" s="57"/>
    </row>
    <row r="717" ht="15.75" customHeight="1">
      <c r="A717" s="57"/>
      <c r="C717" s="57"/>
      <c r="D717" s="57"/>
      <c r="AQ717" s="57"/>
    </row>
    <row r="718" ht="15.75" customHeight="1">
      <c r="A718" s="57"/>
      <c r="C718" s="57"/>
      <c r="D718" s="57"/>
      <c r="AQ718" s="57"/>
    </row>
    <row r="719" ht="15.75" customHeight="1">
      <c r="A719" s="57"/>
      <c r="C719" s="57"/>
      <c r="D719" s="57"/>
      <c r="AQ719" s="57"/>
    </row>
    <row r="720" ht="15.75" customHeight="1">
      <c r="A720" s="57"/>
      <c r="C720" s="57"/>
      <c r="D720" s="57"/>
      <c r="AQ720" s="57"/>
    </row>
    <row r="721" ht="15.75" customHeight="1">
      <c r="A721" s="57"/>
      <c r="C721" s="57"/>
      <c r="D721" s="57"/>
      <c r="AQ721" s="57"/>
    </row>
    <row r="722" ht="15.75" customHeight="1">
      <c r="A722" s="57"/>
      <c r="C722" s="57"/>
      <c r="D722" s="57"/>
      <c r="AQ722" s="57"/>
    </row>
    <row r="723" ht="15.75" customHeight="1">
      <c r="A723" s="57"/>
      <c r="C723" s="57"/>
      <c r="D723" s="57"/>
      <c r="AQ723" s="57"/>
    </row>
    <row r="724" ht="15.75" customHeight="1">
      <c r="A724" s="57"/>
      <c r="C724" s="57"/>
      <c r="D724" s="57"/>
      <c r="AQ724" s="57"/>
    </row>
    <row r="725" ht="15.75" customHeight="1">
      <c r="A725" s="57"/>
      <c r="C725" s="57"/>
      <c r="D725" s="57"/>
      <c r="AQ725" s="57"/>
    </row>
    <row r="726" ht="15.75" customHeight="1">
      <c r="A726" s="57"/>
      <c r="C726" s="57"/>
      <c r="D726" s="57"/>
      <c r="AQ726" s="57"/>
    </row>
    <row r="727" ht="15.75" customHeight="1">
      <c r="A727" s="57"/>
      <c r="C727" s="57"/>
      <c r="D727" s="57"/>
      <c r="AQ727" s="57"/>
    </row>
    <row r="728" ht="15.75" customHeight="1">
      <c r="A728" s="57"/>
      <c r="C728" s="57"/>
      <c r="D728" s="57"/>
      <c r="AQ728" s="57"/>
    </row>
    <row r="729" ht="15.75" customHeight="1">
      <c r="A729" s="57"/>
      <c r="C729" s="57"/>
      <c r="D729" s="57"/>
      <c r="AQ729" s="57"/>
    </row>
    <row r="730" ht="15.75" customHeight="1">
      <c r="A730" s="57"/>
      <c r="C730" s="57"/>
      <c r="D730" s="57"/>
      <c r="AQ730" s="57"/>
    </row>
    <row r="731" ht="15.75" customHeight="1">
      <c r="A731" s="57"/>
      <c r="C731" s="57"/>
      <c r="D731" s="57"/>
      <c r="AQ731" s="57"/>
    </row>
    <row r="732" ht="15.75" customHeight="1">
      <c r="A732" s="57"/>
      <c r="C732" s="57"/>
      <c r="D732" s="57"/>
      <c r="AQ732" s="57"/>
    </row>
    <row r="733" ht="15.75" customHeight="1">
      <c r="A733" s="57"/>
      <c r="C733" s="57"/>
      <c r="D733" s="57"/>
      <c r="AQ733" s="57"/>
    </row>
    <row r="734" ht="15.75" customHeight="1">
      <c r="A734" s="57"/>
      <c r="C734" s="57"/>
      <c r="D734" s="57"/>
      <c r="AQ734" s="57"/>
    </row>
    <row r="735" ht="15.75" customHeight="1">
      <c r="A735" s="57"/>
      <c r="C735" s="57"/>
      <c r="D735" s="57"/>
      <c r="AQ735" s="57"/>
    </row>
    <row r="736" ht="15.75" customHeight="1">
      <c r="A736" s="57"/>
      <c r="C736" s="57"/>
      <c r="D736" s="57"/>
      <c r="AQ736" s="57"/>
    </row>
    <row r="737" ht="15.75" customHeight="1">
      <c r="A737" s="57"/>
      <c r="C737" s="57"/>
      <c r="D737" s="57"/>
      <c r="AQ737" s="57"/>
    </row>
    <row r="738" ht="15.75" customHeight="1">
      <c r="A738" s="57"/>
      <c r="C738" s="57"/>
      <c r="D738" s="57"/>
      <c r="AQ738" s="57"/>
    </row>
    <row r="739" ht="15.75" customHeight="1">
      <c r="A739" s="57"/>
      <c r="C739" s="57"/>
      <c r="D739" s="57"/>
      <c r="AQ739" s="57"/>
    </row>
    <row r="740" ht="15.75" customHeight="1">
      <c r="A740" s="57"/>
      <c r="C740" s="57"/>
      <c r="D740" s="57"/>
      <c r="AQ740" s="57"/>
    </row>
    <row r="741" ht="15.75" customHeight="1">
      <c r="A741" s="57"/>
      <c r="C741" s="57"/>
      <c r="D741" s="57"/>
      <c r="AQ741" s="57"/>
    </row>
    <row r="742" ht="15.75" customHeight="1">
      <c r="A742" s="57"/>
      <c r="C742" s="57"/>
      <c r="D742" s="57"/>
      <c r="AQ742" s="57"/>
    </row>
    <row r="743" ht="15.75" customHeight="1">
      <c r="A743" s="57"/>
      <c r="C743" s="57"/>
      <c r="D743" s="57"/>
      <c r="AQ743" s="57"/>
    </row>
    <row r="744" ht="15.75" customHeight="1">
      <c r="A744" s="57"/>
      <c r="C744" s="57"/>
      <c r="D744" s="57"/>
      <c r="AQ744" s="57"/>
    </row>
    <row r="745" ht="15.75" customHeight="1">
      <c r="A745" s="57"/>
      <c r="C745" s="57"/>
      <c r="D745" s="57"/>
      <c r="AQ745" s="57"/>
    </row>
    <row r="746" ht="15.75" customHeight="1">
      <c r="A746" s="57"/>
      <c r="C746" s="57"/>
      <c r="D746" s="57"/>
      <c r="AQ746" s="57"/>
    </row>
    <row r="747" ht="15.75" customHeight="1">
      <c r="A747" s="57"/>
      <c r="C747" s="57"/>
      <c r="D747" s="57"/>
      <c r="AQ747" s="57"/>
    </row>
    <row r="748" ht="15.75" customHeight="1">
      <c r="A748" s="57"/>
      <c r="C748" s="57"/>
      <c r="D748" s="57"/>
      <c r="AQ748" s="57"/>
    </row>
    <row r="749" ht="15.75" customHeight="1">
      <c r="A749" s="57"/>
      <c r="C749" s="57"/>
      <c r="D749" s="57"/>
      <c r="AQ749" s="57"/>
    </row>
    <row r="750" ht="15.75" customHeight="1">
      <c r="A750" s="57"/>
      <c r="C750" s="57"/>
      <c r="D750" s="57"/>
      <c r="AQ750" s="57"/>
    </row>
    <row r="751" ht="15.75" customHeight="1">
      <c r="A751" s="57"/>
      <c r="C751" s="57"/>
      <c r="D751" s="57"/>
      <c r="AQ751" s="57"/>
    </row>
    <row r="752" ht="15.75" customHeight="1">
      <c r="A752" s="57"/>
      <c r="C752" s="57"/>
      <c r="D752" s="57"/>
      <c r="AQ752" s="57"/>
    </row>
    <row r="753" ht="15.75" customHeight="1">
      <c r="A753" s="57"/>
      <c r="C753" s="57"/>
      <c r="D753" s="57"/>
      <c r="AQ753" s="57"/>
    </row>
    <row r="754" ht="15.75" customHeight="1">
      <c r="A754" s="57"/>
      <c r="C754" s="57"/>
      <c r="D754" s="57"/>
      <c r="AQ754" s="57"/>
    </row>
    <row r="755" ht="15.75" customHeight="1">
      <c r="A755" s="57"/>
      <c r="C755" s="57"/>
      <c r="D755" s="57"/>
      <c r="AQ755" s="57"/>
    </row>
    <row r="756" ht="15.75" customHeight="1">
      <c r="A756" s="57"/>
      <c r="C756" s="57"/>
      <c r="D756" s="57"/>
      <c r="AQ756" s="57"/>
    </row>
    <row r="757" ht="15.75" customHeight="1">
      <c r="A757" s="57"/>
      <c r="C757" s="57"/>
      <c r="D757" s="57"/>
      <c r="AQ757" s="57"/>
    </row>
    <row r="758" ht="15.75" customHeight="1">
      <c r="A758" s="57"/>
      <c r="C758" s="57"/>
      <c r="D758" s="57"/>
      <c r="AQ758" s="57"/>
    </row>
    <row r="759" ht="15.75" customHeight="1">
      <c r="A759" s="57"/>
      <c r="C759" s="57"/>
      <c r="D759" s="57"/>
      <c r="AQ759" s="57"/>
    </row>
    <row r="760" ht="15.75" customHeight="1">
      <c r="A760" s="57"/>
      <c r="C760" s="57"/>
      <c r="D760" s="57"/>
      <c r="AQ760" s="57"/>
    </row>
    <row r="761" ht="15.75" customHeight="1">
      <c r="A761" s="57"/>
      <c r="C761" s="57"/>
      <c r="D761" s="57"/>
      <c r="AQ761" s="57"/>
    </row>
    <row r="762" ht="15.75" customHeight="1">
      <c r="A762" s="57"/>
      <c r="C762" s="57"/>
      <c r="D762" s="57"/>
      <c r="AQ762" s="57"/>
    </row>
    <row r="763" ht="15.75" customHeight="1">
      <c r="A763" s="57"/>
      <c r="C763" s="57"/>
      <c r="D763" s="57"/>
      <c r="AQ763" s="57"/>
    </row>
    <row r="764" ht="15.75" customHeight="1">
      <c r="A764" s="57"/>
      <c r="C764" s="57"/>
      <c r="D764" s="57"/>
      <c r="AQ764" s="57"/>
    </row>
    <row r="765" ht="15.75" customHeight="1">
      <c r="A765" s="57"/>
      <c r="C765" s="57"/>
      <c r="D765" s="57"/>
      <c r="AQ765" s="57"/>
    </row>
    <row r="766" ht="15.75" customHeight="1">
      <c r="A766" s="57"/>
      <c r="C766" s="57"/>
      <c r="D766" s="57"/>
      <c r="AQ766" s="57"/>
    </row>
    <row r="767" ht="15.75" customHeight="1">
      <c r="A767" s="57"/>
      <c r="C767" s="57"/>
      <c r="D767" s="57"/>
      <c r="AQ767" s="57"/>
    </row>
    <row r="768" ht="15.75" customHeight="1">
      <c r="A768" s="57"/>
      <c r="C768" s="57"/>
      <c r="D768" s="57"/>
      <c r="AQ768" s="57"/>
    </row>
    <row r="769" ht="15.75" customHeight="1">
      <c r="A769" s="57"/>
      <c r="C769" s="57"/>
      <c r="D769" s="57"/>
      <c r="AQ769" s="57"/>
    </row>
    <row r="770" ht="15.75" customHeight="1">
      <c r="A770" s="57"/>
      <c r="C770" s="57"/>
      <c r="D770" s="57"/>
      <c r="AQ770" s="57"/>
    </row>
    <row r="771" ht="15.75" customHeight="1">
      <c r="A771" s="57"/>
      <c r="C771" s="57"/>
      <c r="D771" s="57"/>
      <c r="AQ771" s="57"/>
    </row>
    <row r="772" ht="15.75" customHeight="1">
      <c r="A772" s="57"/>
      <c r="C772" s="57"/>
      <c r="D772" s="57"/>
      <c r="AQ772" s="57"/>
    </row>
    <row r="773" ht="15.75" customHeight="1">
      <c r="A773" s="57"/>
      <c r="C773" s="57"/>
      <c r="D773" s="57"/>
      <c r="AQ773" s="57"/>
    </row>
    <row r="774" ht="15.75" customHeight="1">
      <c r="A774" s="57"/>
      <c r="C774" s="57"/>
      <c r="D774" s="57"/>
      <c r="AQ774" s="57"/>
    </row>
    <row r="775" ht="15.75" customHeight="1">
      <c r="A775" s="57"/>
      <c r="C775" s="57"/>
      <c r="D775" s="57"/>
      <c r="AQ775" s="57"/>
    </row>
    <row r="776" ht="15.75" customHeight="1">
      <c r="A776" s="57"/>
      <c r="C776" s="57"/>
      <c r="D776" s="57"/>
      <c r="AQ776" s="57"/>
    </row>
    <row r="777" ht="15.75" customHeight="1">
      <c r="A777" s="57"/>
      <c r="C777" s="57"/>
      <c r="D777" s="57"/>
      <c r="AQ777" s="57"/>
    </row>
    <row r="778" ht="15.75" customHeight="1">
      <c r="A778" s="57"/>
      <c r="C778" s="57"/>
      <c r="D778" s="57"/>
      <c r="AQ778" s="57"/>
    </row>
    <row r="779" ht="15.75" customHeight="1">
      <c r="A779" s="57"/>
      <c r="C779" s="57"/>
      <c r="D779" s="57"/>
      <c r="AQ779" s="57"/>
    </row>
    <row r="780" ht="15.75" customHeight="1">
      <c r="A780" s="57"/>
      <c r="C780" s="57"/>
      <c r="D780" s="57"/>
      <c r="AQ780" s="57"/>
    </row>
    <row r="781" ht="15.75" customHeight="1">
      <c r="A781" s="57"/>
      <c r="C781" s="57"/>
      <c r="D781" s="57"/>
      <c r="AQ781" s="57"/>
    </row>
    <row r="782" ht="15.75" customHeight="1">
      <c r="A782" s="57"/>
      <c r="C782" s="57"/>
      <c r="D782" s="57"/>
      <c r="AQ782" s="57"/>
    </row>
    <row r="783" ht="15.75" customHeight="1">
      <c r="A783" s="57"/>
      <c r="C783" s="57"/>
      <c r="D783" s="57"/>
      <c r="AQ783" s="57"/>
    </row>
    <row r="784" ht="15.75" customHeight="1">
      <c r="A784" s="57"/>
      <c r="C784" s="57"/>
      <c r="D784" s="57"/>
      <c r="AQ784" s="57"/>
    </row>
    <row r="785" ht="15.75" customHeight="1">
      <c r="A785" s="57"/>
      <c r="C785" s="57"/>
      <c r="D785" s="57"/>
      <c r="AQ785" s="57"/>
    </row>
    <row r="786" ht="15.75" customHeight="1">
      <c r="A786" s="57"/>
      <c r="C786" s="57"/>
      <c r="D786" s="57"/>
      <c r="AQ786" s="57"/>
    </row>
    <row r="787" ht="15.75" customHeight="1">
      <c r="A787" s="57"/>
      <c r="C787" s="57"/>
      <c r="D787" s="57"/>
      <c r="AQ787" s="57"/>
    </row>
    <row r="788" ht="15.75" customHeight="1">
      <c r="A788" s="57"/>
      <c r="C788" s="57"/>
      <c r="D788" s="57"/>
      <c r="AQ788" s="57"/>
    </row>
    <row r="789" ht="15.75" customHeight="1">
      <c r="A789" s="57"/>
      <c r="C789" s="57"/>
      <c r="D789" s="57"/>
      <c r="AQ789" s="57"/>
    </row>
    <row r="790" ht="15.75" customHeight="1">
      <c r="A790" s="57"/>
      <c r="C790" s="57"/>
      <c r="D790" s="57"/>
      <c r="AQ790" s="57"/>
    </row>
    <row r="791" ht="15.75" customHeight="1">
      <c r="A791" s="57"/>
      <c r="C791" s="57"/>
      <c r="D791" s="57"/>
      <c r="AQ791" s="57"/>
    </row>
    <row r="792" ht="15.75" customHeight="1">
      <c r="A792" s="57"/>
      <c r="C792" s="57"/>
      <c r="D792" s="57"/>
      <c r="AQ792" s="57"/>
    </row>
    <row r="793" ht="15.75" customHeight="1">
      <c r="A793" s="57"/>
      <c r="C793" s="57"/>
      <c r="D793" s="57"/>
      <c r="AQ793" s="57"/>
    </row>
    <row r="794" ht="15.75" customHeight="1">
      <c r="A794" s="57"/>
      <c r="C794" s="57"/>
      <c r="D794" s="57"/>
      <c r="AQ794" s="57"/>
    </row>
    <row r="795" ht="15.75" customHeight="1">
      <c r="A795" s="57"/>
      <c r="C795" s="57"/>
      <c r="D795" s="57"/>
      <c r="AQ795" s="57"/>
    </row>
    <row r="796" ht="15.75" customHeight="1">
      <c r="A796" s="57"/>
      <c r="C796" s="57"/>
      <c r="D796" s="57"/>
      <c r="AQ796" s="57"/>
    </row>
    <row r="797" ht="15.75" customHeight="1">
      <c r="A797" s="57"/>
      <c r="C797" s="57"/>
      <c r="D797" s="57"/>
      <c r="AQ797" s="57"/>
    </row>
    <row r="798" ht="15.75" customHeight="1">
      <c r="A798" s="57"/>
      <c r="C798" s="57"/>
      <c r="D798" s="57"/>
      <c r="AQ798" s="57"/>
    </row>
    <row r="799" ht="15.75" customHeight="1">
      <c r="A799" s="57"/>
      <c r="C799" s="57"/>
      <c r="D799" s="57"/>
      <c r="AQ799" s="57"/>
    </row>
    <row r="800" ht="15.75" customHeight="1">
      <c r="A800" s="57"/>
      <c r="C800" s="57"/>
      <c r="D800" s="57"/>
      <c r="AQ800" s="57"/>
    </row>
    <row r="801" ht="15.75" customHeight="1">
      <c r="A801" s="57"/>
      <c r="C801" s="57"/>
      <c r="D801" s="57"/>
      <c r="AQ801" s="57"/>
    </row>
    <row r="802" ht="15.75" customHeight="1">
      <c r="A802" s="57"/>
      <c r="C802" s="57"/>
      <c r="D802" s="57"/>
      <c r="AQ802" s="57"/>
    </row>
    <row r="803" ht="15.75" customHeight="1">
      <c r="A803" s="57"/>
      <c r="C803" s="57"/>
      <c r="D803" s="57"/>
      <c r="AQ803" s="57"/>
    </row>
    <row r="804" ht="15.75" customHeight="1">
      <c r="A804" s="57"/>
      <c r="C804" s="57"/>
      <c r="D804" s="57"/>
      <c r="AQ804" s="57"/>
    </row>
    <row r="805" ht="15.75" customHeight="1">
      <c r="A805" s="57"/>
      <c r="C805" s="57"/>
      <c r="D805" s="57"/>
      <c r="AQ805" s="57"/>
    </row>
    <row r="806" ht="15.75" customHeight="1">
      <c r="A806" s="57"/>
      <c r="C806" s="57"/>
      <c r="D806" s="57"/>
      <c r="AQ806" s="57"/>
    </row>
    <row r="807" ht="15.75" customHeight="1">
      <c r="A807" s="57"/>
      <c r="C807" s="57"/>
      <c r="D807" s="57"/>
      <c r="AQ807" s="57"/>
    </row>
    <row r="808" ht="15.75" customHeight="1">
      <c r="A808" s="57"/>
      <c r="C808" s="57"/>
      <c r="D808" s="57"/>
      <c r="AQ808" s="57"/>
    </row>
    <row r="809" ht="15.75" customHeight="1">
      <c r="A809" s="57"/>
      <c r="C809" s="57"/>
      <c r="D809" s="57"/>
      <c r="AQ809" s="57"/>
    </row>
    <row r="810" ht="15.75" customHeight="1">
      <c r="A810" s="57"/>
      <c r="C810" s="57"/>
      <c r="D810" s="57"/>
      <c r="AQ810" s="57"/>
    </row>
    <row r="811" ht="15.75" customHeight="1">
      <c r="A811" s="57"/>
      <c r="C811" s="57"/>
      <c r="D811" s="57"/>
      <c r="AQ811" s="57"/>
    </row>
    <row r="812" ht="15.75" customHeight="1">
      <c r="A812" s="57"/>
      <c r="C812" s="57"/>
      <c r="D812" s="57"/>
      <c r="AQ812" s="57"/>
    </row>
    <row r="813" ht="15.75" customHeight="1">
      <c r="A813" s="57"/>
      <c r="C813" s="57"/>
      <c r="D813" s="57"/>
      <c r="AQ813" s="57"/>
    </row>
    <row r="814" ht="15.75" customHeight="1">
      <c r="A814" s="57"/>
      <c r="C814" s="57"/>
      <c r="D814" s="57"/>
      <c r="AQ814" s="57"/>
    </row>
    <row r="815" ht="15.75" customHeight="1">
      <c r="A815" s="57"/>
      <c r="C815" s="57"/>
      <c r="D815" s="57"/>
      <c r="AQ815" s="57"/>
    </row>
    <row r="816" ht="15.75" customHeight="1">
      <c r="A816" s="57"/>
      <c r="C816" s="57"/>
      <c r="D816" s="57"/>
      <c r="AQ816" s="57"/>
    </row>
    <row r="817" ht="15.75" customHeight="1">
      <c r="A817" s="57"/>
      <c r="C817" s="57"/>
      <c r="D817" s="57"/>
      <c r="AQ817" s="57"/>
    </row>
    <row r="818" ht="15.75" customHeight="1">
      <c r="A818" s="57"/>
      <c r="C818" s="57"/>
      <c r="D818" s="57"/>
      <c r="AQ818" s="57"/>
    </row>
    <row r="819" ht="15.75" customHeight="1">
      <c r="A819" s="57"/>
      <c r="C819" s="57"/>
      <c r="D819" s="57"/>
      <c r="AQ819" s="57"/>
    </row>
    <row r="820" ht="15.75" customHeight="1">
      <c r="A820" s="57"/>
      <c r="C820" s="57"/>
      <c r="D820" s="57"/>
      <c r="AQ820" s="57"/>
    </row>
    <row r="821" ht="15.75" customHeight="1">
      <c r="A821" s="57"/>
      <c r="C821" s="57"/>
      <c r="D821" s="57"/>
      <c r="AQ821" s="57"/>
    </row>
    <row r="822" ht="15.75" customHeight="1">
      <c r="A822" s="57"/>
      <c r="C822" s="57"/>
      <c r="D822" s="57"/>
      <c r="AQ822" s="57"/>
    </row>
    <row r="823" ht="15.75" customHeight="1">
      <c r="A823" s="57"/>
      <c r="C823" s="57"/>
      <c r="D823" s="57"/>
      <c r="AQ823" s="57"/>
    </row>
    <row r="824" ht="15.75" customHeight="1">
      <c r="A824" s="57"/>
      <c r="C824" s="57"/>
      <c r="D824" s="57"/>
      <c r="AQ824" s="57"/>
    </row>
    <row r="825" ht="15.75" customHeight="1">
      <c r="A825" s="57"/>
      <c r="C825" s="57"/>
      <c r="D825" s="57"/>
      <c r="AQ825" s="57"/>
    </row>
    <row r="826" ht="15.75" customHeight="1">
      <c r="A826" s="57"/>
      <c r="C826" s="57"/>
      <c r="D826" s="57"/>
      <c r="AQ826" s="57"/>
    </row>
    <row r="827" ht="15.75" customHeight="1">
      <c r="A827" s="57"/>
      <c r="C827" s="57"/>
      <c r="D827" s="57"/>
      <c r="AQ827" s="57"/>
    </row>
    <row r="828" ht="15.75" customHeight="1">
      <c r="A828" s="57"/>
      <c r="C828" s="57"/>
      <c r="D828" s="57"/>
      <c r="AQ828" s="57"/>
    </row>
    <row r="829" ht="15.75" customHeight="1">
      <c r="A829" s="57"/>
      <c r="C829" s="57"/>
      <c r="D829" s="57"/>
      <c r="AQ829" s="57"/>
    </row>
    <row r="830" ht="15.75" customHeight="1">
      <c r="A830" s="57"/>
      <c r="C830" s="57"/>
      <c r="D830" s="57"/>
      <c r="AQ830" s="57"/>
    </row>
    <row r="831" ht="15.75" customHeight="1">
      <c r="A831" s="57"/>
      <c r="C831" s="57"/>
      <c r="D831" s="57"/>
      <c r="AQ831" s="57"/>
    </row>
    <row r="832" ht="15.75" customHeight="1">
      <c r="A832" s="57"/>
      <c r="C832" s="57"/>
      <c r="D832" s="57"/>
      <c r="AQ832" s="57"/>
    </row>
    <row r="833" ht="15.75" customHeight="1">
      <c r="A833" s="57"/>
      <c r="C833" s="57"/>
      <c r="D833" s="57"/>
      <c r="AQ833" s="57"/>
    </row>
    <row r="834" ht="15.75" customHeight="1">
      <c r="A834" s="57"/>
      <c r="C834" s="57"/>
      <c r="D834" s="57"/>
      <c r="AQ834" s="57"/>
    </row>
    <row r="835" ht="15.75" customHeight="1">
      <c r="A835" s="57"/>
      <c r="C835" s="57"/>
      <c r="D835" s="57"/>
      <c r="AQ835" s="57"/>
    </row>
    <row r="836" ht="15.75" customHeight="1">
      <c r="A836" s="57"/>
      <c r="C836" s="57"/>
      <c r="D836" s="57"/>
      <c r="AQ836" s="57"/>
    </row>
    <row r="837" ht="15.75" customHeight="1">
      <c r="A837" s="57"/>
      <c r="C837" s="57"/>
      <c r="D837" s="57"/>
      <c r="AQ837" s="57"/>
    </row>
    <row r="838" ht="15.75" customHeight="1">
      <c r="A838" s="57"/>
      <c r="C838" s="57"/>
      <c r="D838" s="57"/>
      <c r="AQ838" s="57"/>
    </row>
    <row r="839" ht="15.75" customHeight="1">
      <c r="A839" s="57"/>
      <c r="C839" s="57"/>
      <c r="D839" s="57"/>
      <c r="AQ839" s="57"/>
    </row>
    <row r="840" ht="15.75" customHeight="1">
      <c r="A840" s="57"/>
      <c r="C840" s="57"/>
      <c r="D840" s="57"/>
      <c r="AQ840" s="57"/>
    </row>
    <row r="841" ht="15.75" customHeight="1">
      <c r="A841" s="57"/>
      <c r="C841" s="57"/>
      <c r="D841" s="57"/>
      <c r="AQ841" s="57"/>
    </row>
    <row r="842" ht="15.75" customHeight="1">
      <c r="A842" s="57"/>
      <c r="C842" s="57"/>
      <c r="D842" s="57"/>
      <c r="AQ842" s="57"/>
    </row>
    <row r="843" ht="15.75" customHeight="1">
      <c r="A843" s="57"/>
      <c r="C843" s="57"/>
      <c r="D843" s="57"/>
      <c r="AQ843" s="57"/>
    </row>
    <row r="844" ht="15.75" customHeight="1">
      <c r="A844" s="57"/>
      <c r="C844" s="57"/>
      <c r="D844" s="57"/>
      <c r="AQ844" s="57"/>
    </row>
    <row r="845" ht="15.75" customHeight="1">
      <c r="A845" s="57"/>
      <c r="C845" s="57"/>
      <c r="D845" s="57"/>
      <c r="AQ845" s="57"/>
    </row>
    <row r="846" ht="15.75" customHeight="1">
      <c r="A846" s="57"/>
      <c r="C846" s="57"/>
      <c r="D846" s="57"/>
      <c r="AQ846" s="57"/>
    </row>
    <row r="847" ht="15.75" customHeight="1">
      <c r="A847" s="57"/>
      <c r="C847" s="57"/>
      <c r="D847" s="57"/>
      <c r="AQ847" s="57"/>
    </row>
    <row r="848" ht="15.75" customHeight="1">
      <c r="A848" s="57"/>
      <c r="C848" s="57"/>
      <c r="D848" s="57"/>
      <c r="AQ848" s="57"/>
    </row>
    <row r="849" ht="15.75" customHeight="1">
      <c r="A849" s="57"/>
      <c r="C849" s="57"/>
      <c r="D849" s="57"/>
      <c r="AQ849" s="57"/>
    </row>
    <row r="850" ht="15.75" customHeight="1">
      <c r="A850" s="57"/>
      <c r="C850" s="57"/>
      <c r="D850" s="57"/>
      <c r="AQ850" s="57"/>
    </row>
    <row r="851" ht="15.75" customHeight="1">
      <c r="A851" s="57"/>
      <c r="C851" s="57"/>
      <c r="D851" s="57"/>
      <c r="AQ851" s="57"/>
    </row>
    <row r="852" ht="15.75" customHeight="1">
      <c r="A852" s="57"/>
      <c r="C852" s="57"/>
      <c r="D852" s="57"/>
      <c r="AQ852" s="57"/>
    </row>
    <row r="853" ht="15.75" customHeight="1">
      <c r="A853" s="57"/>
      <c r="C853" s="57"/>
      <c r="D853" s="57"/>
      <c r="AQ853" s="57"/>
    </row>
    <row r="854" ht="15.75" customHeight="1">
      <c r="A854" s="57"/>
      <c r="C854" s="57"/>
      <c r="D854" s="57"/>
      <c r="AQ854" s="57"/>
    </row>
    <row r="855" ht="15.75" customHeight="1">
      <c r="A855" s="57"/>
      <c r="C855" s="57"/>
      <c r="D855" s="57"/>
      <c r="AQ855" s="57"/>
    </row>
    <row r="856" ht="15.75" customHeight="1">
      <c r="A856" s="57"/>
      <c r="C856" s="57"/>
      <c r="D856" s="57"/>
      <c r="AQ856" s="57"/>
    </row>
    <row r="857" ht="15.75" customHeight="1">
      <c r="A857" s="57"/>
      <c r="C857" s="57"/>
      <c r="D857" s="57"/>
      <c r="AQ857" s="57"/>
    </row>
    <row r="858" ht="15.75" customHeight="1">
      <c r="A858" s="57"/>
      <c r="C858" s="57"/>
      <c r="D858" s="57"/>
      <c r="AQ858" s="57"/>
    </row>
    <row r="859" ht="15.75" customHeight="1">
      <c r="A859" s="57"/>
      <c r="C859" s="57"/>
      <c r="D859" s="57"/>
      <c r="AQ859" s="57"/>
    </row>
    <row r="860" ht="15.75" customHeight="1">
      <c r="A860" s="57"/>
      <c r="C860" s="57"/>
      <c r="D860" s="57"/>
      <c r="AQ860" s="57"/>
    </row>
    <row r="861" ht="15.75" customHeight="1">
      <c r="A861" s="57"/>
      <c r="C861" s="57"/>
      <c r="D861" s="57"/>
      <c r="AQ861" s="57"/>
    </row>
    <row r="862" ht="15.75" customHeight="1">
      <c r="A862" s="57"/>
      <c r="C862" s="57"/>
      <c r="D862" s="57"/>
      <c r="AQ862" s="57"/>
    </row>
    <row r="863" ht="15.75" customHeight="1">
      <c r="A863" s="57"/>
      <c r="C863" s="57"/>
      <c r="D863" s="57"/>
      <c r="AQ863" s="57"/>
    </row>
    <row r="864" ht="15.75" customHeight="1">
      <c r="A864" s="57"/>
      <c r="C864" s="57"/>
      <c r="D864" s="57"/>
      <c r="AQ864" s="57"/>
    </row>
    <row r="865" ht="15.75" customHeight="1">
      <c r="A865" s="57"/>
      <c r="C865" s="57"/>
      <c r="D865" s="57"/>
      <c r="AQ865" s="57"/>
    </row>
    <row r="866" ht="15.75" customHeight="1">
      <c r="A866" s="57"/>
      <c r="C866" s="57"/>
      <c r="D866" s="57"/>
      <c r="AQ866" s="57"/>
    </row>
    <row r="867" ht="15.75" customHeight="1">
      <c r="A867" s="57"/>
      <c r="C867" s="57"/>
      <c r="D867" s="57"/>
      <c r="AQ867" s="57"/>
    </row>
    <row r="868" ht="15.75" customHeight="1">
      <c r="A868" s="57"/>
      <c r="C868" s="57"/>
      <c r="D868" s="57"/>
      <c r="AQ868" s="57"/>
    </row>
    <row r="869" ht="15.75" customHeight="1">
      <c r="A869" s="57"/>
      <c r="C869" s="57"/>
      <c r="D869" s="57"/>
      <c r="AQ869" s="57"/>
    </row>
    <row r="870" ht="15.75" customHeight="1">
      <c r="A870" s="57"/>
      <c r="C870" s="57"/>
      <c r="D870" s="57"/>
      <c r="AQ870" s="57"/>
    </row>
    <row r="871" ht="15.75" customHeight="1">
      <c r="A871" s="57"/>
      <c r="C871" s="57"/>
      <c r="D871" s="57"/>
      <c r="AQ871" s="57"/>
    </row>
    <row r="872" ht="15.75" customHeight="1">
      <c r="A872" s="57"/>
      <c r="C872" s="57"/>
      <c r="D872" s="57"/>
      <c r="AQ872" s="57"/>
    </row>
    <row r="873" ht="15.75" customHeight="1">
      <c r="A873" s="57"/>
      <c r="C873" s="57"/>
      <c r="D873" s="57"/>
      <c r="AQ873" s="57"/>
    </row>
    <row r="874" ht="15.75" customHeight="1">
      <c r="A874" s="57"/>
      <c r="C874" s="57"/>
      <c r="D874" s="57"/>
      <c r="AQ874" s="57"/>
    </row>
    <row r="875" ht="15.75" customHeight="1">
      <c r="A875" s="57"/>
      <c r="C875" s="57"/>
      <c r="D875" s="57"/>
      <c r="AQ875" s="57"/>
    </row>
    <row r="876" ht="15.75" customHeight="1">
      <c r="A876" s="57"/>
      <c r="C876" s="57"/>
      <c r="D876" s="57"/>
      <c r="AQ876" s="57"/>
    </row>
    <row r="877" ht="15.75" customHeight="1">
      <c r="A877" s="57"/>
      <c r="C877" s="57"/>
      <c r="D877" s="57"/>
      <c r="AQ877" s="57"/>
    </row>
    <row r="878" ht="15.75" customHeight="1">
      <c r="A878" s="57"/>
      <c r="C878" s="57"/>
      <c r="D878" s="57"/>
      <c r="AQ878" s="57"/>
    </row>
    <row r="879" ht="15.75" customHeight="1">
      <c r="A879" s="57"/>
      <c r="C879" s="57"/>
      <c r="D879" s="57"/>
      <c r="AQ879" s="57"/>
    </row>
    <row r="880" ht="15.75" customHeight="1">
      <c r="A880" s="57"/>
      <c r="C880" s="57"/>
      <c r="D880" s="57"/>
      <c r="AQ880" s="57"/>
    </row>
    <row r="881" ht="15.75" customHeight="1">
      <c r="A881" s="57"/>
      <c r="C881" s="57"/>
      <c r="D881" s="57"/>
      <c r="AQ881" s="57"/>
    </row>
    <row r="882" ht="15.75" customHeight="1">
      <c r="A882" s="57"/>
      <c r="C882" s="57"/>
      <c r="D882" s="57"/>
      <c r="AQ882" s="57"/>
    </row>
    <row r="883" ht="15.75" customHeight="1">
      <c r="A883" s="57"/>
      <c r="C883" s="57"/>
      <c r="D883" s="57"/>
      <c r="AQ883" s="57"/>
    </row>
    <row r="884" ht="15.75" customHeight="1">
      <c r="A884" s="57"/>
      <c r="C884" s="57"/>
      <c r="D884" s="57"/>
      <c r="AQ884" s="57"/>
    </row>
    <row r="885" ht="15.75" customHeight="1">
      <c r="A885" s="57"/>
      <c r="C885" s="57"/>
      <c r="D885" s="57"/>
      <c r="AQ885" s="57"/>
    </row>
    <row r="886" ht="15.75" customHeight="1">
      <c r="A886" s="57"/>
      <c r="C886" s="57"/>
      <c r="D886" s="57"/>
      <c r="AQ886" s="57"/>
    </row>
    <row r="887" ht="15.75" customHeight="1">
      <c r="A887" s="57"/>
      <c r="C887" s="57"/>
      <c r="D887" s="57"/>
      <c r="AQ887" s="57"/>
    </row>
    <row r="888" ht="15.75" customHeight="1">
      <c r="A888" s="57"/>
      <c r="C888" s="57"/>
      <c r="D888" s="57"/>
      <c r="AQ888" s="57"/>
    </row>
    <row r="889" ht="15.75" customHeight="1">
      <c r="A889" s="57"/>
      <c r="C889" s="57"/>
      <c r="D889" s="57"/>
      <c r="AQ889" s="57"/>
    </row>
    <row r="890" ht="15.75" customHeight="1">
      <c r="A890" s="57"/>
      <c r="C890" s="57"/>
      <c r="D890" s="57"/>
      <c r="AQ890" s="57"/>
    </row>
    <row r="891" ht="15.75" customHeight="1">
      <c r="A891" s="57"/>
      <c r="C891" s="57"/>
      <c r="D891" s="57"/>
      <c r="AQ891" s="57"/>
    </row>
    <row r="892" ht="15.75" customHeight="1">
      <c r="A892" s="57"/>
      <c r="C892" s="57"/>
      <c r="D892" s="57"/>
      <c r="AQ892" s="57"/>
    </row>
    <row r="893" ht="15.75" customHeight="1">
      <c r="A893" s="57"/>
      <c r="C893" s="57"/>
      <c r="D893" s="57"/>
      <c r="AQ893" s="57"/>
    </row>
    <row r="894" ht="15.75" customHeight="1">
      <c r="A894" s="57"/>
      <c r="C894" s="57"/>
      <c r="D894" s="57"/>
      <c r="AQ894" s="57"/>
    </row>
    <row r="895" ht="15.75" customHeight="1">
      <c r="A895" s="57"/>
      <c r="C895" s="57"/>
      <c r="D895" s="57"/>
      <c r="AQ895" s="57"/>
    </row>
    <row r="896" ht="15.75" customHeight="1">
      <c r="A896" s="57"/>
      <c r="C896" s="57"/>
      <c r="D896" s="57"/>
      <c r="AQ896" s="57"/>
    </row>
    <row r="897" ht="15.75" customHeight="1">
      <c r="A897" s="57"/>
      <c r="C897" s="57"/>
      <c r="D897" s="57"/>
      <c r="AQ897" s="57"/>
    </row>
    <row r="898" ht="15.75" customHeight="1">
      <c r="A898" s="57"/>
      <c r="C898" s="57"/>
      <c r="D898" s="57"/>
      <c r="AQ898" s="57"/>
    </row>
    <row r="899" ht="15.75" customHeight="1">
      <c r="A899" s="57"/>
      <c r="C899" s="57"/>
      <c r="D899" s="57"/>
      <c r="AQ899" s="57"/>
    </row>
    <row r="900" ht="15.75" customHeight="1">
      <c r="A900" s="57"/>
      <c r="C900" s="57"/>
      <c r="D900" s="57"/>
      <c r="AQ900" s="57"/>
    </row>
    <row r="901" ht="15.75" customHeight="1">
      <c r="A901" s="57"/>
      <c r="C901" s="57"/>
      <c r="D901" s="57"/>
      <c r="AQ901" s="57"/>
    </row>
    <row r="902" ht="15.75" customHeight="1">
      <c r="A902" s="57"/>
      <c r="C902" s="57"/>
      <c r="D902" s="57"/>
      <c r="AQ902" s="57"/>
    </row>
    <row r="903" ht="15.75" customHeight="1">
      <c r="A903" s="57"/>
      <c r="C903" s="57"/>
      <c r="D903" s="57"/>
      <c r="AQ903" s="57"/>
    </row>
    <row r="904" ht="15.75" customHeight="1">
      <c r="A904" s="57"/>
      <c r="C904" s="57"/>
      <c r="D904" s="57"/>
      <c r="AQ904" s="57"/>
    </row>
    <row r="905" ht="15.75" customHeight="1">
      <c r="A905" s="57"/>
      <c r="C905" s="57"/>
      <c r="D905" s="57"/>
      <c r="AQ905" s="57"/>
    </row>
    <row r="906" ht="15.75" customHeight="1">
      <c r="A906" s="57"/>
      <c r="C906" s="57"/>
      <c r="D906" s="57"/>
      <c r="AQ906" s="57"/>
    </row>
    <row r="907" ht="15.75" customHeight="1">
      <c r="A907" s="57"/>
      <c r="C907" s="57"/>
      <c r="D907" s="57"/>
      <c r="AQ907" s="57"/>
    </row>
    <row r="908" ht="15.75" customHeight="1">
      <c r="A908" s="57"/>
      <c r="C908" s="57"/>
      <c r="D908" s="57"/>
      <c r="AQ908" s="57"/>
    </row>
    <row r="909" ht="15.75" customHeight="1">
      <c r="A909" s="57"/>
      <c r="C909" s="57"/>
      <c r="D909" s="57"/>
      <c r="AQ909" s="57"/>
    </row>
    <row r="910" ht="15.75" customHeight="1">
      <c r="A910" s="57"/>
      <c r="C910" s="57"/>
      <c r="D910" s="57"/>
      <c r="AQ910" s="57"/>
    </row>
    <row r="911" ht="15.75" customHeight="1">
      <c r="A911" s="57"/>
      <c r="C911" s="57"/>
      <c r="D911" s="57"/>
      <c r="AQ911" s="57"/>
    </row>
    <row r="912" ht="15.75" customHeight="1">
      <c r="A912" s="57"/>
      <c r="C912" s="57"/>
      <c r="D912" s="57"/>
      <c r="AQ912" s="57"/>
    </row>
    <row r="913" ht="15.75" customHeight="1">
      <c r="A913" s="57"/>
      <c r="C913" s="57"/>
      <c r="D913" s="57"/>
      <c r="AQ913" s="57"/>
    </row>
    <row r="914" ht="15.75" customHeight="1">
      <c r="A914" s="57"/>
      <c r="C914" s="57"/>
      <c r="D914" s="57"/>
      <c r="AQ914" s="57"/>
    </row>
    <row r="915" ht="15.75" customHeight="1">
      <c r="A915" s="57"/>
      <c r="C915" s="57"/>
      <c r="D915" s="57"/>
      <c r="AQ915" s="57"/>
    </row>
    <row r="916" ht="15.75" customHeight="1">
      <c r="A916" s="57"/>
      <c r="C916" s="57"/>
      <c r="D916" s="57"/>
      <c r="AQ916" s="57"/>
    </row>
    <row r="917" ht="15.75" customHeight="1">
      <c r="A917" s="57"/>
      <c r="C917" s="57"/>
      <c r="D917" s="57"/>
      <c r="AQ917" s="57"/>
    </row>
    <row r="918" ht="15.75" customHeight="1">
      <c r="A918" s="57"/>
      <c r="C918" s="57"/>
      <c r="D918" s="57"/>
      <c r="AQ918" s="57"/>
    </row>
    <row r="919" ht="15.75" customHeight="1">
      <c r="A919" s="57"/>
      <c r="C919" s="57"/>
      <c r="D919" s="57"/>
      <c r="AQ919" s="57"/>
    </row>
    <row r="920" ht="15.75" customHeight="1">
      <c r="A920" s="57"/>
      <c r="C920" s="57"/>
      <c r="D920" s="57"/>
      <c r="AQ920" s="57"/>
    </row>
    <row r="921" ht="15.75" customHeight="1">
      <c r="A921" s="57"/>
      <c r="C921" s="57"/>
      <c r="D921" s="57"/>
      <c r="AQ921" s="57"/>
    </row>
    <row r="922" ht="15.75" customHeight="1">
      <c r="A922" s="57"/>
      <c r="C922" s="57"/>
      <c r="D922" s="57"/>
      <c r="AQ922" s="57"/>
    </row>
    <row r="923" ht="15.75" customHeight="1">
      <c r="A923" s="57"/>
      <c r="C923" s="57"/>
      <c r="D923" s="57"/>
      <c r="AQ923" s="57"/>
    </row>
    <row r="924" ht="15.75" customHeight="1">
      <c r="A924" s="57"/>
      <c r="C924" s="57"/>
      <c r="D924" s="57"/>
      <c r="AQ924" s="57"/>
    </row>
    <row r="925" ht="15.75" customHeight="1">
      <c r="A925" s="57"/>
      <c r="C925" s="57"/>
      <c r="D925" s="57"/>
      <c r="AQ925" s="57"/>
    </row>
    <row r="926" ht="15.75" customHeight="1">
      <c r="A926" s="57"/>
      <c r="C926" s="57"/>
      <c r="D926" s="57"/>
      <c r="AQ926" s="57"/>
    </row>
    <row r="927" ht="15.75" customHeight="1">
      <c r="A927" s="57"/>
      <c r="C927" s="57"/>
      <c r="D927" s="57"/>
      <c r="AQ927" s="57"/>
    </row>
    <row r="928" ht="15.75" customHeight="1">
      <c r="A928" s="57"/>
      <c r="C928" s="57"/>
      <c r="D928" s="57"/>
      <c r="AQ928" s="57"/>
    </row>
    <row r="929" ht="15.75" customHeight="1">
      <c r="A929" s="57"/>
      <c r="C929" s="57"/>
      <c r="D929" s="57"/>
      <c r="AQ929" s="57"/>
    </row>
    <row r="930" ht="15.75" customHeight="1">
      <c r="A930" s="57"/>
      <c r="C930" s="57"/>
      <c r="D930" s="57"/>
      <c r="AQ930" s="57"/>
    </row>
    <row r="931" ht="15.75" customHeight="1">
      <c r="A931" s="57"/>
      <c r="C931" s="57"/>
      <c r="D931" s="57"/>
      <c r="AQ931" s="57"/>
    </row>
    <row r="932" ht="15.75" customHeight="1">
      <c r="A932" s="57"/>
      <c r="C932" s="57"/>
      <c r="D932" s="57"/>
      <c r="AQ932" s="57"/>
    </row>
    <row r="933" ht="15.75" customHeight="1">
      <c r="A933" s="57"/>
      <c r="C933" s="57"/>
      <c r="D933" s="57"/>
      <c r="AQ933" s="57"/>
    </row>
    <row r="934" ht="15.75" customHeight="1">
      <c r="A934" s="57"/>
      <c r="C934" s="57"/>
      <c r="D934" s="57"/>
      <c r="AQ934" s="57"/>
    </row>
    <row r="935" ht="15.75" customHeight="1">
      <c r="A935" s="57"/>
      <c r="C935" s="57"/>
      <c r="D935" s="57"/>
      <c r="AQ935" s="57"/>
    </row>
    <row r="936" ht="15.75" customHeight="1">
      <c r="A936" s="57"/>
      <c r="C936" s="57"/>
      <c r="D936" s="57"/>
      <c r="AQ936" s="57"/>
    </row>
    <row r="937" ht="15.75" customHeight="1">
      <c r="A937" s="57"/>
      <c r="C937" s="57"/>
      <c r="D937" s="57"/>
      <c r="AQ937" s="57"/>
    </row>
    <row r="938" ht="15.75" customHeight="1">
      <c r="A938" s="57"/>
      <c r="C938" s="57"/>
      <c r="D938" s="57"/>
      <c r="AQ938" s="57"/>
    </row>
    <row r="939" ht="15.75" customHeight="1">
      <c r="A939" s="57"/>
      <c r="C939" s="57"/>
      <c r="D939" s="57"/>
      <c r="AQ939" s="57"/>
    </row>
    <row r="940" ht="15.75" customHeight="1">
      <c r="A940" s="57"/>
      <c r="C940" s="57"/>
      <c r="D940" s="57"/>
      <c r="AQ940" s="57"/>
    </row>
    <row r="941" ht="15.75" customHeight="1">
      <c r="A941" s="57"/>
      <c r="C941" s="57"/>
      <c r="D941" s="57"/>
      <c r="AQ941" s="57"/>
    </row>
    <row r="942" ht="15.75" customHeight="1">
      <c r="A942" s="57"/>
      <c r="C942" s="57"/>
      <c r="D942" s="57"/>
      <c r="AQ942" s="57"/>
    </row>
    <row r="943" ht="15.75" customHeight="1">
      <c r="A943" s="57"/>
      <c r="C943" s="57"/>
      <c r="D943" s="57"/>
      <c r="AQ943" s="57"/>
    </row>
    <row r="944" ht="15.75" customHeight="1">
      <c r="A944" s="57"/>
      <c r="C944" s="57"/>
      <c r="D944" s="57"/>
      <c r="AQ944" s="57"/>
    </row>
    <row r="945" ht="15.75" customHeight="1">
      <c r="A945" s="57"/>
      <c r="C945" s="57"/>
      <c r="D945" s="57"/>
      <c r="AQ945" s="57"/>
    </row>
    <row r="946" ht="15.75" customHeight="1">
      <c r="A946" s="57"/>
      <c r="C946" s="57"/>
      <c r="D946" s="57"/>
      <c r="AQ946" s="57"/>
    </row>
    <row r="947" ht="15.75" customHeight="1">
      <c r="A947" s="57"/>
      <c r="C947" s="57"/>
      <c r="D947" s="57"/>
      <c r="AQ947" s="57"/>
    </row>
    <row r="948" ht="15.75" customHeight="1">
      <c r="A948" s="57"/>
      <c r="C948" s="57"/>
      <c r="D948" s="57"/>
      <c r="AQ948" s="57"/>
    </row>
    <row r="949" ht="15.75" customHeight="1">
      <c r="A949" s="57"/>
      <c r="C949" s="57"/>
      <c r="D949" s="57"/>
      <c r="AQ949" s="57"/>
    </row>
    <row r="950" ht="15.75" customHeight="1">
      <c r="A950" s="57"/>
      <c r="C950" s="57"/>
      <c r="D950" s="57"/>
      <c r="AQ950" s="57"/>
    </row>
    <row r="951" ht="15.75" customHeight="1">
      <c r="A951" s="57"/>
      <c r="C951" s="57"/>
      <c r="D951" s="57"/>
      <c r="AQ951" s="57"/>
    </row>
    <row r="952" ht="15.75" customHeight="1">
      <c r="A952" s="57"/>
      <c r="C952" s="57"/>
      <c r="D952" s="57"/>
      <c r="AQ952" s="57"/>
    </row>
    <row r="953" ht="15.75" customHeight="1">
      <c r="A953" s="57"/>
      <c r="C953" s="57"/>
      <c r="D953" s="57"/>
      <c r="AQ953" s="57"/>
    </row>
    <row r="954" ht="15.75" customHeight="1">
      <c r="A954" s="57"/>
      <c r="C954" s="57"/>
      <c r="D954" s="57"/>
      <c r="AQ954" s="57"/>
    </row>
    <row r="955" ht="15.75" customHeight="1">
      <c r="A955" s="57"/>
      <c r="C955" s="57"/>
      <c r="D955" s="57"/>
      <c r="AQ955" s="57"/>
    </row>
    <row r="956" ht="15.75" customHeight="1">
      <c r="A956" s="57"/>
      <c r="C956" s="57"/>
      <c r="D956" s="57"/>
      <c r="AQ956" s="57"/>
    </row>
    <row r="957" ht="15.75" customHeight="1">
      <c r="A957" s="57"/>
      <c r="C957" s="57"/>
      <c r="D957" s="57"/>
      <c r="AQ957" s="57"/>
    </row>
    <row r="958" ht="15.75" customHeight="1">
      <c r="A958" s="57"/>
      <c r="C958" s="57"/>
      <c r="D958" s="57"/>
      <c r="AQ958" s="57"/>
    </row>
    <row r="959" ht="15.75" customHeight="1">
      <c r="A959" s="57"/>
      <c r="C959" s="57"/>
      <c r="D959" s="57"/>
      <c r="AQ959" s="57"/>
    </row>
    <row r="960" ht="15.75" customHeight="1">
      <c r="A960" s="57"/>
      <c r="C960" s="57"/>
      <c r="D960" s="57"/>
      <c r="AQ960" s="57"/>
    </row>
    <row r="961" ht="15.75" customHeight="1">
      <c r="A961" s="57"/>
      <c r="C961" s="57"/>
      <c r="D961" s="57"/>
      <c r="AQ961" s="57"/>
    </row>
    <row r="962" ht="15.75" customHeight="1">
      <c r="A962" s="57"/>
      <c r="C962" s="57"/>
      <c r="D962" s="57"/>
      <c r="AQ962" s="57"/>
    </row>
    <row r="963" ht="15.75" customHeight="1">
      <c r="A963" s="57"/>
      <c r="C963" s="57"/>
      <c r="D963" s="57"/>
      <c r="AQ963" s="57"/>
    </row>
    <row r="964" ht="15.75" customHeight="1">
      <c r="A964" s="57"/>
      <c r="C964" s="57"/>
      <c r="D964" s="57"/>
      <c r="AQ964" s="57"/>
    </row>
    <row r="965" ht="15.75" customHeight="1">
      <c r="A965" s="57"/>
      <c r="C965" s="57"/>
      <c r="D965" s="57"/>
      <c r="AQ965" s="57"/>
    </row>
    <row r="966" ht="15.75" customHeight="1">
      <c r="A966" s="57"/>
      <c r="C966" s="57"/>
      <c r="D966" s="57"/>
      <c r="AQ966" s="57"/>
    </row>
    <row r="967" ht="15.75" customHeight="1">
      <c r="A967" s="57"/>
      <c r="C967" s="57"/>
      <c r="D967" s="57"/>
      <c r="AQ967" s="57"/>
    </row>
    <row r="968" ht="15.75" customHeight="1">
      <c r="A968" s="57"/>
      <c r="C968" s="57"/>
      <c r="D968" s="57"/>
      <c r="AQ968" s="57"/>
    </row>
    <row r="969" ht="15.75" customHeight="1">
      <c r="A969" s="57"/>
      <c r="C969" s="57"/>
      <c r="D969" s="57"/>
      <c r="AQ969" s="57"/>
    </row>
    <row r="970" ht="15.75" customHeight="1">
      <c r="A970" s="57"/>
      <c r="C970" s="57"/>
      <c r="D970" s="57"/>
      <c r="AQ970" s="57"/>
    </row>
    <row r="971" ht="15.75" customHeight="1">
      <c r="A971" s="57"/>
      <c r="C971" s="57"/>
      <c r="D971" s="57"/>
      <c r="AQ971" s="57"/>
    </row>
    <row r="972" ht="15.75" customHeight="1">
      <c r="A972" s="57"/>
      <c r="C972" s="57"/>
      <c r="D972" s="57"/>
      <c r="AQ972" s="57"/>
    </row>
    <row r="973" ht="15.75" customHeight="1">
      <c r="A973" s="57"/>
      <c r="C973" s="57"/>
      <c r="D973" s="57"/>
      <c r="AQ973" s="57"/>
    </row>
    <row r="974" ht="15.75" customHeight="1">
      <c r="A974" s="57"/>
      <c r="C974" s="57"/>
      <c r="D974" s="57"/>
      <c r="AQ974" s="57"/>
    </row>
    <row r="975" ht="15.75" customHeight="1">
      <c r="A975" s="57"/>
      <c r="C975" s="57"/>
      <c r="D975" s="57"/>
      <c r="AQ975" s="57"/>
    </row>
    <row r="976" ht="15.75" customHeight="1">
      <c r="A976" s="57"/>
      <c r="C976" s="57"/>
      <c r="D976" s="57"/>
      <c r="AQ976" s="57"/>
    </row>
    <row r="977" ht="15.75" customHeight="1">
      <c r="A977" s="57"/>
      <c r="C977" s="57"/>
      <c r="D977" s="57"/>
      <c r="AQ977" s="57"/>
    </row>
    <row r="978" ht="15.75" customHeight="1">
      <c r="A978" s="57"/>
      <c r="C978" s="57"/>
      <c r="D978" s="57"/>
      <c r="AQ978" s="57"/>
    </row>
    <row r="979" ht="15.75" customHeight="1">
      <c r="A979" s="57"/>
      <c r="C979" s="57"/>
      <c r="D979" s="57"/>
      <c r="AQ979" s="57"/>
    </row>
    <row r="980" ht="15.75" customHeight="1">
      <c r="A980" s="57"/>
      <c r="C980" s="57"/>
      <c r="D980" s="57"/>
      <c r="AQ980" s="57"/>
    </row>
    <row r="981" ht="15.75" customHeight="1">
      <c r="A981" s="57"/>
      <c r="C981" s="57"/>
      <c r="D981" s="57"/>
      <c r="AQ981" s="57"/>
    </row>
    <row r="982" ht="15.75" customHeight="1">
      <c r="A982" s="57"/>
      <c r="C982" s="57"/>
      <c r="D982" s="57"/>
      <c r="AQ982" s="57"/>
    </row>
    <row r="983" ht="15.75" customHeight="1">
      <c r="A983" s="57"/>
      <c r="C983" s="57"/>
      <c r="D983" s="57"/>
      <c r="AQ983" s="57"/>
    </row>
    <row r="984" ht="15.75" customHeight="1">
      <c r="A984" s="57"/>
      <c r="C984" s="57"/>
      <c r="D984" s="57"/>
      <c r="AQ984" s="57"/>
    </row>
    <row r="985" ht="15.75" customHeight="1">
      <c r="A985" s="57"/>
      <c r="C985" s="57"/>
      <c r="D985" s="57"/>
      <c r="AQ985" s="57"/>
    </row>
    <row r="986" ht="15.75" customHeight="1">
      <c r="A986" s="57"/>
      <c r="C986" s="57"/>
      <c r="D986" s="57"/>
      <c r="AQ986" s="57"/>
    </row>
    <row r="987" ht="15.75" customHeight="1">
      <c r="A987" s="57"/>
      <c r="C987" s="57"/>
      <c r="D987" s="57"/>
      <c r="AQ987" s="57"/>
    </row>
    <row r="988" ht="15.75" customHeight="1">
      <c r="A988" s="57"/>
      <c r="C988" s="57"/>
      <c r="D988" s="57"/>
      <c r="AQ988" s="57"/>
    </row>
    <row r="989" ht="15.75" customHeight="1">
      <c r="A989" s="57"/>
      <c r="C989" s="57"/>
      <c r="D989" s="57"/>
      <c r="AQ989" s="57"/>
    </row>
    <row r="990" ht="15.75" customHeight="1">
      <c r="A990" s="57"/>
      <c r="C990" s="57"/>
      <c r="D990" s="57"/>
      <c r="AQ990" s="57"/>
    </row>
    <row r="991" ht="15.75" customHeight="1">
      <c r="A991" s="57"/>
      <c r="C991" s="57"/>
      <c r="D991" s="57"/>
      <c r="AQ991" s="57"/>
    </row>
    <row r="992" ht="15.75" customHeight="1">
      <c r="A992" s="57"/>
      <c r="C992" s="57"/>
      <c r="D992" s="57"/>
      <c r="AQ992" s="57"/>
    </row>
    <row r="993" ht="15.75" customHeight="1">
      <c r="A993" s="57"/>
      <c r="C993" s="57"/>
      <c r="D993" s="57"/>
      <c r="AQ993" s="57"/>
    </row>
    <row r="994" ht="15.75" customHeight="1">
      <c r="A994" s="57"/>
      <c r="C994" s="57"/>
      <c r="D994" s="57"/>
      <c r="AQ994" s="57"/>
    </row>
    <row r="995" ht="15.75" customHeight="1">
      <c r="A995" s="57"/>
      <c r="C995" s="57"/>
      <c r="D995" s="57"/>
      <c r="AQ995" s="57"/>
    </row>
    <row r="996" ht="15.75" customHeight="1">
      <c r="A996" s="57"/>
      <c r="C996" s="57"/>
      <c r="D996" s="57"/>
      <c r="AQ996" s="57"/>
    </row>
    <row r="997" ht="15.75" customHeight="1">
      <c r="A997" s="57"/>
      <c r="C997" s="57"/>
      <c r="D997" s="57"/>
      <c r="AQ997" s="57"/>
    </row>
    <row r="998" ht="15.75" customHeight="1">
      <c r="A998" s="57"/>
      <c r="C998" s="57"/>
      <c r="D998" s="57"/>
      <c r="AQ998" s="57"/>
    </row>
    <row r="999" ht="15.75" customHeight="1">
      <c r="A999" s="57"/>
      <c r="C999" s="57"/>
      <c r="D999" s="57"/>
      <c r="AQ999" s="57"/>
    </row>
    <row r="1000" ht="15.75" customHeight="1">
      <c r="A1000" s="57"/>
      <c r="C1000" s="57"/>
      <c r="D1000" s="57"/>
      <c r="AQ1000" s="57"/>
    </row>
    <row r="1001" ht="15.75" customHeight="1">
      <c r="A1001" s="57"/>
      <c r="C1001" s="57"/>
      <c r="D1001" s="57"/>
      <c r="AQ1001" s="57"/>
    </row>
    <row r="1002" ht="15.75" customHeight="1">
      <c r="A1002" s="57"/>
      <c r="C1002" s="57"/>
      <c r="D1002" s="57"/>
      <c r="AQ1002" s="5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5.13"/>
    <col customWidth="1" min="3" max="3" width="20.0"/>
    <col customWidth="1" min="4" max="4" width="12.13"/>
    <col customWidth="1" min="5" max="5" width="12.75"/>
    <col customWidth="1" min="6" max="6" width="9.0"/>
    <col customWidth="1" min="7" max="7" width="7.5"/>
    <col customWidth="1" min="8" max="8" width="12.5"/>
    <col customWidth="1" min="9" max="9" width="17.63"/>
    <col customWidth="1" min="10" max="10" width="18.75"/>
    <col customWidth="1" min="11" max="11" width="17.38"/>
    <col customWidth="1" min="12" max="12" width="18.5"/>
    <col customWidth="1" min="13" max="13" width="43.0"/>
    <col customWidth="1" min="14" max="14" width="18.0"/>
    <col customWidth="1" min="15" max="26" width="8.63"/>
  </cols>
  <sheetData>
    <row r="1" ht="30.0" customHeight="1">
      <c r="A1" s="59" t="s">
        <v>673</v>
      </c>
      <c r="B1" s="59" t="s">
        <v>328</v>
      </c>
      <c r="C1" s="59" t="s">
        <v>674</v>
      </c>
      <c r="D1" s="59" t="s">
        <v>675</v>
      </c>
      <c r="E1" s="59" t="s">
        <v>676</v>
      </c>
      <c r="F1" s="59" t="s">
        <v>677</v>
      </c>
      <c r="G1" s="59" t="s">
        <v>678</v>
      </c>
      <c r="H1" s="60" t="s">
        <v>679</v>
      </c>
      <c r="I1" s="61" t="s">
        <v>680</v>
      </c>
      <c r="J1" s="60" t="s">
        <v>681</v>
      </c>
      <c r="K1" s="60" t="s">
        <v>682</v>
      </c>
      <c r="L1" s="60" t="s">
        <v>683</v>
      </c>
      <c r="M1" s="60" t="s">
        <v>361</v>
      </c>
      <c r="N1" s="59" t="s">
        <v>684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5.75" customHeight="1">
      <c r="A2" s="3" t="s">
        <v>685</v>
      </c>
      <c r="B2" s="3" t="s">
        <v>389</v>
      </c>
      <c r="C2" s="3" t="s">
        <v>686</v>
      </c>
      <c r="D2" s="3" t="s">
        <v>687</v>
      </c>
      <c r="E2" s="3" t="s">
        <v>688</v>
      </c>
      <c r="F2" s="3" t="s">
        <v>689</v>
      </c>
      <c r="G2" s="3" t="s">
        <v>690</v>
      </c>
      <c r="H2" s="3">
        <v>12330.0</v>
      </c>
      <c r="I2" s="3">
        <v>1.0</v>
      </c>
      <c r="J2" s="3">
        <v>0.0</v>
      </c>
      <c r="K2" s="3">
        <v>18900.0</v>
      </c>
      <c r="L2" s="3">
        <v>5000.0</v>
      </c>
      <c r="M2" s="3" t="s">
        <v>691</v>
      </c>
      <c r="N2" s="3" t="str">
        <f t="shared" ref="N2:N9" si="1">D2&amp;"|"&amp;E2&amp;"|"&amp;B2</f>
        <v>segunda-quinta|manhã|ativo</v>
      </c>
    </row>
    <row r="3" ht="15.75" customHeight="1">
      <c r="A3" s="3" t="s">
        <v>692</v>
      </c>
      <c r="B3" s="3" t="s">
        <v>389</v>
      </c>
      <c r="C3" s="3" t="s">
        <v>693</v>
      </c>
      <c r="D3" s="3" t="s">
        <v>687</v>
      </c>
      <c r="E3" s="3" t="s">
        <v>694</v>
      </c>
      <c r="F3" s="3" t="s">
        <v>695</v>
      </c>
      <c r="G3" s="3" t="s">
        <v>696</v>
      </c>
      <c r="H3" s="3">
        <v>12330.0</v>
      </c>
      <c r="I3" s="3">
        <v>1.0</v>
      </c>
      <c r="J3" s="3">
        <v>0.0</v>
      </c>
      <c r="K3" s="3">
        <v>18900.0</v>
      </c>
      <c r="L3" s="3">
        <v>7000.0</v>
      </c>
      <c r="M3" s="3" t="s">
        <v>691</v>
      </c>
      <c r="N3" s="3" t="str">
        <f t="shared" si="1"/>
        <v>segunda-quinta|noite|ativo</v>
      </c>
    </row>
    <row r="4" ht="15.75" customHeight="1">
      <c r="A4" s="3" t="s">
        <v>697</v>
      </c>
      <c r="B4" s="3" t="s">
        <v>389</v>
      </c>
      <c r="C4" s="3" t="s">
        <v>698</v>
      </c>
      <c r="D4" s="3" t="s">
        <v>699</v>
      </c>
      <c r="E4" s="3" t="s">
        <v>688</v>
      </c>
      <c r="F4" s="3" t="s">
        <v>689</v>
      </c>
      <c r="G4" s="3" t="s">
        <v>690</v>
      </c>
      <c r="H4" s="3">
        <v>12330.0</v>
      </c>
      <c r="I4" s="3">
        <v>1.0</v>
      </c>
      <c r="J4" s="3">
        <v>0.0</v>
      </c>
      <c r="K4" s="3">
        <v>18900.0</v>
      </c>
      <c r="L4" s="3">
        <v>6000.0</v>
      </c>
      <c r="M4" s="3" t="s">
        <v>691</v>
      </c>
      <c r="N4" s="3" t="str">
        <f t="shared" si="1"/>
        <v>sexta|manhã|ativo</v>
      </c>
    </row>
    <row r="5" ht="15.75" customHeight="1">
      <c r="A5" s="3" t="s">
        <v>700</v>
      </c>
      <c r="B5" s="3" t="s">
        <v>389</v>
      </c>
      <c r="C5" s="3" t="s">
        <v>701</v>
      </c>
      <c r="D5" s="3" t="s">
        <v>699</v>
      </c>
      <c r="E5" s="3" t="s">
        <v>694</v>
      </c>
      <c r="F5" s="3" t="s">
        <v>695</v>
      </c>
      <c r="G5" s="3" t="s">
        <v>696</v>
      </c>
      <c r="H5" s="3">
        <v>12330.0</v>
      </c>
      <c r="I5" s="3">
        <v>1.0</v>
      </c>
      <c r="J5" s="3">
        <v>0.0</v>
      </c>
      <c r="K5" s="3">
        <v>20900.0</v>
      </c>
      <c r="L5" s="3">
        <v>8000.0</v>
      </c>
      <c r="M5" s="3" t="s">
        <v>691</v>
      </c>
      <c r="N5" s="3" t="str">
        <f t="shared" si="1"/>
        <v>sexta|noite|ativo</v>
      </c>
    </row>
    <row r="6" ht="15.75" customHeight="1">
      <c r="A6" s="3" t="s">
        <v>702</v>
      </c>
      <c r="B6" s="3" t="s">
        <v>389</v>
      </c>
      <c r="C6" s="3" t="s">
        <v>703</v>
      </c>
      <c r="D6" s="3" t="s">
        <v>704</v>
      </c>
      <c r="E6" s="3" t="s">
        <v>688</v>
      </c>
      <c r="F6" s="3" t="s">
        <v>689</v>
      </c>
      <c r="G6" s="3" t="s">
        <v>690</v>
      </c>
      <c r="H6" s="3">
        <v>12330.0</v>
      </c>
      <c r="I6" s="3">
        <v>1.0</v>
      </c>
      <c r="J6" s="3">
        <v>0.0</v>
      </c>
      <c r="K6" s="3">
        <v>20900.0</v>
      </c>
      <c r="L6" s="3">
        <v>6000.0</v>
      </c>
      <c r="M6" s="3" t="s">
        <v>691</v>
      </c>
      <c r="N6" s="3" t="str">
        <f t="shared" si="1"/>
        <v>sábado|manhã|ativo</v>
      </c>
    </row>
    <row r="7" ht="15.75" customHeight="1">
      <c r="A7" s="3" t="s">
        <v>36</v>
      </c>
      <c r="B7" s="3" t="s">
        <v>389</v>
      </c>
      <c r="C7" s="3" t="s">
        <v>705</v>
      </c>
      <c r="D7" s="3" t="s">
        <v>704</v>
      </c>
      <c r="E7" s="3" t="s">
        <v>694</v>
      </c>
      <c r="F7" s="3" t="s">
        <v>695</v>
      </c>
      <c r="G7" s="3" t="s">
        <v>696</v>
      </c>
      <c r="H7" s="3">
        <v>12330.0</v>
      </c>
      <c r="I7" s="3">
        <v>1.4</v>
      </c>
      <c r="J7" s="3">
        <v>0.0</v>
      </c>
      <c r="K7" s="3">
        <v>27500.0</v>
      </c>
      <c r="L7" s="3">
        <v>9000.0</v>
      </c>
      <c r="M7" s="3" t="s">
        <v>691</v>
      </c>
      <c r="N7" s="3" t="str">
        <f t="shared" si="1"/>
        <v>sábado|noite|ativo</v>
      </c>
    </row>
    <row r="8" ht="15.75" customHeight="1">
      <c r="A8" s="3" t="s">
        <v>706</v>
      </c>
      <c r="B8" s="3" t="s">
        <v>389</v>
      </c>
      <c r="C8" s="3" t="s">
        <v>707</v>
      </c>
      <c r="D8" s="3" t="s">
        <v>708</v>
      </c>
      <c r="E8" s="3" t="s">
        <v>688</v>
      </c>
      <c r="F8" s="3" t="s">
        <v>689</v>
      </c>
      <c r="G8" s="3" t="s">
        <v>690</v>
      </c>
      <c r="H8" s="3">
        <v>12330.0</v>
      </c>
      <c r="I8" s="3">
        <v>1.0</v>
      </c>
      <c r="J8" s="3">
        <v>0.0</v>
      </c>
      <c r="K8" s="3">
        <v>20900.0</v>
      </c>
      <c r="L8" s="3">
        <v>6000.0</v>
      </c>
      <c r="M8" s="3" t="s">
        <v>691</v>
      </c>
      <c r="N8" s="3" t="str">
        <f t="shared" si="1"/>
        <v>domingo|manhã|ativo</v>
      </c>
    </row>
    <row r="9" ht="15.75" customHeight="1">
      <c r="A9" s="3" t="s">
        <v>709</v>
      </c>
      <c r="B9" s="3" t="s">
        <v>389</v>
      </c>
      <c r="C9" s="3" t="s">
        <v>710</v>
      </c>
      <c r="D9" s="3" t="s">
        <v>708</v>
      </c>
      <c r="E9" s="3" t="s">
        <v>694</v>
      </c>
      <c r="F9" s="3" t="s">
        <v>695</v>
      </c>
      <c r="G9" s="3" t="s">
        <v>696</v>
      </c>
      <c r="H9" s="3">
        <v>12330.0</v>
      </c>
      <c r="I9" s="3">
        <v>1.3</v>
      </c>
      <c r="J9" s="3">
        <v>0.0</v>
      </c>
      <c r="K9" s="3">
        <v>26000.0</v>
      </c>
      <c r="L9" s="3">
        <v>8000.0</v>
      </c>
      <c r="M9" s="3" t="s">
        <v>691</v>
      </c>
      <c r="N9" s="3" t="str">
        <f t="shared" si="1"/>
        <v>domingo|noite|ativo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7.63"/>
    <col customWidth="1" min="3" max="3" width="25.13"/>
    <col customWidth="1" min="4" max="4" width="85.38"/>
    <col customWidth="1" min="5" max="5" width="18.75"/>
    <col customWidth="1" min="6" max="26" width="8.63"/>
  </cols>
  <sheetData>
    <row r="1" ht="30.0" customHeight="1">
      <c r="A1" s="59" t="s">
        <v>327</v>
      </c>
      <c r="B1" s="59" t="s">
        <v>3</v>
      </c>
      <c r="C1" s="59" t="s">
        <v>326</v>
      </c>
      <c r="D1" s="59" t="s">
        <v>8</v>
      </c>
      <c r="E1" s="60" t="s">
        <v>711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5.75" customHeight="1">
      <c r="A2" s="3" t="s">
        <v>379</v>
      </c>
      <c r="B2" s="3" t="s">
        <v>13</v>
      </c>
      <c r="C2" s="3" t="s">
        <v>436</v>
      </c>
      <c r="D2" s="3" t="s">
        <v>396</v>
      </c>
      <c r="E2" s="3">
        <v>2.2</v>
      </c>
    </row>
    <row r="3" ht="15.75" customHeight="1">
      <c r="A3" s="3" t="s">
        <v>401</v>
      </c>
      <c r="B3" s="3" t="s">
        <v>25</v>
      </c>
      <c r="C3" s="3" t="s">
        <v>712</v>
      </c>
      <c r="D3" s="3" t="s">
        <v>397</v>
      </c>
      <c r="E3" s="3">
        <v>10.0</v>
      </c>
    </row>
    <row r="4" ht="15.75" customHeight="1">
      <c r="A4" s="3" t="s">
        <v>415</v>
      </c>
      <c r="B4" s="3" t="s">
        <v>42</v>
      </c>
      <c r="C4" s="3" t="s">
        <v>382</v>
      </c>
      <c r="D4" s="3" t="s">
        <v>424</v>
      </c>
      <c r="E4" s="3">
        <v>5.0</v>
      </c>
    </row>
    <row r="5" ht="15.75" customHeight="1">
      <c r="A5" s="3" t="s">
        <v>149</v>
      </c>
      <c r="B5" s="3" t="s">
        <v>42</v>
      </c>
      <c r="C5" s="3" t="s">
        <v>573</v>
      </c>
      <c r="D5" s="3" t="s">
        <v>428</v>
      </c>
      <c r="E5" s="3">
        <v>7.0</v>
      </c>
    </row>
    <row r="6" ht="15.75" customHeight="1">
      <c r="A6" s="3" t="s">
        <v>206</v>
      </c>
      <c r="B6" s="3" t="s">
        <v>210</v>
      </c>
      <c r="C6" s="3" t="s">
        <v>564</v>
      </c>
      <c r="D6" s="3" t="s">
        <v>417</v>
      </c>
      <c r="E6" s="3">
        <v>10.0</v>
      </c>
      <c r="I6" s="3" t="s">
        <v>210</v>
      </c>
      <c r="J6" s="3" t="s">
        <v>713</v>
      </c>
      <c r="K6" s="3" t="s">
        <v>564</v>
      </c>
      <c r="L6" s="3" t="s">
        <v>417</v>
      </c>
      <c r="M6" s="3" t="s">
        <v>206</v>
      </c>
      <c r="N6" s="3" t="s">
        <v>714</v>
      </c>
      <c r="O6" s="3" t="s">
        <v>210</v>
      </c>
      <c r="P6" s="3" t="s">
        <v>713</v>
      </c>
      <c r="Q6" s="3" t="s">
        <v>564</v>
      </c>
      <c r="R6" s="3" t="s">
        <v>417</v>
      </c>
      <c r="S6" s="3" t="s">
        <v>206</v>
      </c>
      <c r="T6" s="3" t="s">
        <v>714</v>
      </c>
      <c r="U6" s="3" t="s">
        <v>210</v>
      </c>
      <c r="V6" s="3" t="s">
        <v>713</v>
      </c>
      <c r="W6" s="3" t="s">
        <v>564</v>
      </c>
      <c r="X6" s="3" t="s">
        <v>417</v>
      </c>
    </row>
    <row r="7" ht="15.75" customHeight="1">
      <c r="A7" s="3" t="s">
        <v>595</v>
      </c>
      <c r="B7" s="3" t="s">
        <v>715</v>
      </c>
      <c r="C7" s="3" t="s">
        <v>716</v>
      </c>
      <c r="D7" s="3" t="s">
        <v>412</v>
      </c>
      <c r="E7" s="3">
        <v>10.0</v>
      </c>
    </row>
    <row r="8" ht="15.75" customHeight="1">
      <c r="A8" s="3" t="s">
        <v>603</v>
      </c>
      <c r="B8" s="3" t="s">
        <v>717</v>
      </c>
      <c r="C8" s="3" t="s">
        <v>618</v>
      </c>
      <c r="D8" s="3" t="s">
        <v>402</v>
      </c>
      <c r="E8" s="3">
        <v>8.0</v>
      </c>
    </row>
    <row r="9" ht="15.75" customHeight="1">
      <c r="A9" s="3" t="s">
        <v>628</v>
      </c>
      <c r="B9" s="3" t="s">
        <v>717</v>
      </c>
      <c r="C9" s="3" t="s">
        <v>718</v>
      </c>
      <c r="D9" s="3" t="s">
        <v>407</v>
      </c>
      <c r="E9" s="3">
        <v>3.5</v>
      </c>
    </row>
    <row r="10" ht="15.75" customHeight="1">
      <c r="D10" s="3" t="s">
        <v>719</v>
      </c>
      <c r="E10" s="3">
        <f>SUM(E2:E9)</f>
        <v>55.7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17.63"/>
    <col customWidth="1" min="3" max="6" width="8.63"/>
  </cols>
  <sheetData>
    <row r="1" ht="15.75" customHeight="1">
      <c r="A1" s="62" t="s">
        <v>720</v>
      </c>
    </row>
    <row r="2" ht="15.75" customHeight="1"/>
    <row r="3" ht="15.75" customHeight="1">
      <c r="A3" s="3" t="s">
        <v>404</v>
      </c>
      <c r="B3" s="3" t="s">
        <v>721</v>
      </c>
    </row>
    <row r="4" ht="15.75" customHeight="1">
      <c r="A4" s="3" t="s">
        <v>441</v>
      </c>
      <c r="B4" s="3" t="s">
        <v>722</v>
      </c>
    </row>
    <row r="5" ht="15.75" customHeight="1">
      <c r="A5" s="3" t="s">
        <v>723</v>
      </c>
      <c r="B5" s="3" t="s">
        <v>724</v>
      </c>
    </row>
    <row r="6" ht="15.75" customHeight="1">
      <c r="A6" s="3" t="s">
        <v>725</v>
      </c>
      <c r="B6" s="3" t="s">
        <v>726</v>
      </c>
    </row>
    <row r="7" ht="15.75" customHeight="1">
      <c r="A7" s="3" t="s">
        <v>727</v>
      </c>
      <c r="B7" s="3" t="s">
        <v>728</v>
      </c>
    </row>
    <row r="8" ht="15.75" customHeight="1">
      <c r="A8" s="3" t="s">
        <v>714</v>
      </c>
      <c r="B8" s="3" t="s">
        <v>729</v>
      </c>
    </row>
    <row r="9" ht="15.75" customHeight="1">
      <c r="A9" s="3" t="s">
        <v>730</v>
      </c>
      <c r="B9" s="3" t="s">
        <v>731</v>
      </c>
    </row>
    <row r="10" ht="15.75" customHeight="1">
      <c r="A10" s="3" t="s">
        <v>732</v>
      </c>
      <c r="B10" s="3" t="s">
        <v>733</v>
      </c>
    </row>
    <row r="11" ht="15.75" customHeight="1"/>
    <row r="12" ht="15.75" customHeight="1">
      <c r="A12" s="3" t="s">
        <v>734</v>
      </c>
    </row>
    <row r="13" ht="15.75" customHeight="1">
      <c r="B13" s="3" t="s">
        <v>735</v>
      </c>
    </row>
    <row r="14" ht="15.75" customHeight="1"/>
    <row r="15" ht="15.75" customHeight="1">
      <c r="A15" s="4" t="s">
        <v>736</v>
      </c>
      <c r="B15" s="4" t="s">
        <v>737</v>
      </c>
    </row>
    <row r="16" ht="15.75" customHeight="1">
      <c r="A16" s="22" t="s">
        <v>738</v>
      </c>
      <c r="B16" s="22" t="s">
        <v>739</v>
      </c>
    </row>
    <row r="17" ht="15.75" customHeight="1">
      <c r="A17" s="22" t="s">
        <v>740</v>
      </c>
      <c r="B17" s="22" t="s">
        <v>741</v>
      </c>
    </row>
    <row r="18" ht="15.75" customHeight="1">
      <c r="A18" s="22" t="s">
        <v>742</v>
      </c>
      <c r="B18" s="22" t="s">
        <v>743</v>
      </c>
    </row>
    <row r="19" ht="15.75" customHeight="1">
      <c r="A19" s="22" t="s">
        <v>744</v>
      </c>
      <c r="B19" s="22" t="s">
        <v>745</v>
      </c>
    </row>
    <row r="20" ht="15.75" customHeight="1">
      <c r="A20" s="22" t="s">
        <v>746</v>
      </c>
      <c r="B20" s="22" t="s">
        <v>747</v>
      </c>
    </row>
    <row r="21" ht="15.75" customHeight="1"/>
    <row r="22" ht="15.75" customHeight="1">
      <c r="A22" s="15" t="s">
        <v>748</v>
      </c>
      <c r="B22" s="16" t="s">
        <v>749</v>
      </c>
    </row>
    <row r="23" ht="15.75" customHeight="1">
      <c r="A23" s="15" t="s">
        <v>750</v>
      </c>
      <c r="B23" s="16" t="s">
        <v>751</v>
      </c>
    </row>
    <row r="24" ht="15.75" customHeight="1">
      <c r="A24" s="15" t="s">
        <v>752</v>
      </c>
      <c r="B24" s="16" t="s">
        <v>753</v>
      </c>
    </row>
    <row r="25" ht="15.75" customHeight="1">
      <c r="A25" s="15" t="s">
        <v>754</v>
      </c>
      <c r="B25" s="16" t="s">
        <v>755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5.13"/>
    <col customWidth="1" min="3" max="3" width="13.0"/>
    <col customWidth="1" min="4" max="4" width="13.25"/>
    <col customWidth="1" min="5" max="5" width="13.88"/>
    <col customWidth="1" min="6" max="6" width="36.0"/>
    <col customWidth="1" min="7" max="7" width="11.63"/>
    <col customWidth="1" min="8" max="8" width="12.13"/>
    <col customWidth="1" min="9" max="9" width="12.25"/>
    <col customWidth="1" min="10" max="10" width="42.0"/>
  </cols>
  <sheetData>
    <row r="1" ht="15.75" customHeight="1">
      <c r="A1" s="4" t="s">
        <v>673</v>
      </c>
      <c r="B1" s="4" t="s">
        <v>328</v>
      </c>
      <c r="C1" s="4" t="s">
        <v>756</v>
      </c>
      <c r="D1" s="4" t="s">
        <v>757</v>
      </c>
      <c r="E1" s="4" t="s">
        <v>758</v>
      </c>
      <c r="F1" s="4" t="s">
        <v>759</v>
      </c>
      <c r="G1" s="4" t="s">
        <v>760</v>
      </c>
      <c r="H1" s="4" t="s">
        <v>761</v>
      </c>
      <c r="I1" s="4" t="s">
        <v>762</v>
      </c>
      <c r="J1" s="4" t="s">
        <v>361</v>
      </c>
    </row>
    <row r="2" ht="15.75" customHeight="1">
      <c r="A2" s="3" t="s">
        <v>763</v>
      </c>
      <c r="B2" s="3" t="s">
        <v>389</v>
      </c>
      <c r="C2" s="63">
        <v>1.0</v>
      </c>
      <c r="D2" s="63">
        <v>100.0</v>
      </c>
      <c r="E2" s="3" t="s">
        <v>764</v>
      </c>
      <c r="F2" s="3" t="s">
        <v>765</v>
      </c>
      <c r="G2" s="64">
        <v>0.0</v>
      </c>
      <c r="H2" s="64">
        <v>0.0</v>
      </c>
      <c r="I2" s="64">
        <v>0.0</v>
      </c>
      <c r="J2" s="3" t="s">
        <v>766</v>
      </c>
    </row>
    <row r="3" ht="15.75" customHeight="1">
      <c r="A3" s="3" t="s">
        <v>767</v>
      </c>
      <c r="B3" s="3" t="s">
        <v>389</v>
      </c>
      <c r="C3" s="63">
        <v>101.0</v>
      </c>
      <c r="D3" s="63">
        <v>150.0</v>
      </c>
      <c r="E3" s="3" t="s">
        <v>768</v>
      </c>
      <c r="F3" s="3" t="s">
        <v>769</v>
      </c>
      <c r="G3" s="64">
        <v>0.0</v>
      </c>
      <c r="H3" s="64">
        <v>0.0</v>
      </c>
      <c r="I3" s="64">
        <v>600.0</v>
      </c>
      <c r="J3" s="3" t="s">
        <v>770</v>
      </c>
    </row>
    <row r="4" ht="15.75" customHeight="1">
      <c r="A4" s="3" t="s">
        <v>771</v>
      </c>
      <c r="B4" s="3" t="s">
        <v>389</v>
      </c>
      <c r="C4" s="63">
        <v>151.0</v>
      </c>
      <c r="D4" s="63">
        <v>200.0</v>
      </c>
      <c r="E4" s="3" t="s">
        <v>772</v>
      </c>
      <c r="F4" s="3" t="s">
        <v>773</v>
      </c>
      <c r="G4" s="64">
        <v>0.0</v>
      </c>
      <c r="H4" s="64">
        <v>0.0</v>
      </c>
      <c r="I4" s="64">
        <v>1200.0</v>
      </c>
      <c r="J4" s="3" t="s">
        <v>770</v>
      </c>
    </row>
    <row r="5" ht="15.75" customHeight="1">
      <c r="A5" s="3" t="s">
        <v>774</v>
      </c>
      <c r="B5" s="3" t="s">
        <v>389</v>
      </c>
      <c r="C5" s="63">
        <v>201.0</v>
      </c>
      <c r="D5" s="63">
        <v>250.0</v>
      </c>
      <c r="E5" s="3" t="s">
        <v>775</v>
      </c>
      <c r="F5" s="3" t="s">
        <v>776</v>
      </c>
      <c r="G5" s="64">
        <v>0.0</v>
      </c>
      <c r="H5" s="64">
        <v>0.0</v>
      </c>
      <c r="I5" s="64">
        <v>2000.0</v>
      </c>
      <c r="J5" s="3" t="s">
        <v>770</v>
      </c>
    </row>
    <row r="6" ht="15.75" customHeight="1">
      <c r="A6" s="3" t="s">
        <v>777</v>
      </c>
      <c r="B6" s="3" t="s">
        <v>389</v>
      </c>
      <c r="C6" s="63">
        <v>251.0</v>
      </c>
      <c r="D6" s="63">
        <v>300.0</v>
      </c>
      <c r="E6" s="3" t="s">
        <v>778</v>
      </c>
      <c r="F6" s="3" t="s">
        <v>779</v>
      </c>
      <c r="G6" s="64">
        <v>0.0</v>
      </c>
      <c r="H6" s="64">
        <v>0.0</v>
      </c>
      <c r="I6" s="64">
        <v>3000.0</v>
      </c>
      <c r="J6" s="3" t="s">
        <v>770</v>
      </c>
    </row>
    <row r="7" ht="15.75" customHeight="1">
      <c r="A7" s="3" t="s">
        <v>780</v>
      </c>
      <c r="B7" s="3" t="s">
        <v>389</v>
      </c>
      <c r="C7" s="63">
        <v>301.0</v>
      </c>
      <c r="D7" s="63">
        <v>999.0</v>
      </c>
      <c r="E7" s="3" t="s">
        <v>781</v>
      </c>
      <c r="F7" s="3" t="s">
        <v>782</v>
      </c>
      <c r="G7" s="64">
        <v>0.0</v>
      </c>
      <c r="H7" s="64">
        <v>0.0</v>
      </c>
      <c r="I7" s="64">
        <v>6000.0</v>
      </c>
      <c r="J7" s="3" t="s">
        <v>783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5.13"/>
    <col customWidth="1" min="3" max="4" width="9.38"/>
    <col customWidth="1" min="5" max="5" width="9.5"/>
    <col customWidth="1" min="6" max="6" width="4.25"/>
    <col customWidth="1" min="7" max="7" width="15.0"/>
    <col customWidth="1" min="8" max="8" width="16.25"/>
    <col customWidth="1" min="9" max="9" width="42.0"/>
  </cols>
  <sheetData>
    <row r="1" ht="15.75" customHeight="1">
      <c r="A1" s="4" t="s">
        <v>673</v>
      </c>
      <c r="B1" s="4" t="s">
        <v>328</v>
      </c>
      <c r="C1" s="4" t="s">
        <v>784</v>
      </c>
      <c r="D1" s="4" t="s">
        <v>785</v>
      </c>
      <c r="E1" s="4" t="s">
        <v>786</v>
      </c>
      <c r="F1" s="4" t="s">
        <v>787</v>
      </c>
      <c r="G1" s="4" t="s">
        <v>788</v>
      </c>
      <c r="H1" s="4" t="s">
        <v>789</v>
      </c>
      <c r="I1" s="4" t="s">
        <v>361</v>
      </c>
    </row>
    <row r="2" ht="15.75" customHeight="1">
      <c r="A2" s="3" t="s">
        <v>790</v>
      </c>
      <c r="B2" s="3" t="s">
        <v>389</v>
      </c>
      <c r="C2" s="65">
        <v>46204.0</v>
      </c>
      <c r="D2" s="65">
        <v>46387.0</v>
      </c>
      <c r="E2" s="3" t="s">
        <v>791</v>
      </c>
      <c r="F2" s="63">
        <v>2026.0</v>
      </c>
      <c r="G2" s="66">
        <v>1.0</v>
      </c>
      <c r="H2" s="64">
        <v>0.0</v>
      </c>
      <c r="I2" s="3" t="s">
        <v>792</v>
      </c>
    </row>
    <row r="3" ht="15.75" customHeight="1">
      <c r="A3" s="3" t="s">
        <v>793</v>
      </c>
      <c r="B3" s="3" t="s">
        <v>389</v>
      </c>
      <c r="C3" s="65">
        <v>46388.0</v>
      </c>
      <c r="D3" s="65">
        <v>46568.0</v>
      </c>
      <c r="E3" s="3" t="s">
        <v>794</v>
      </c>
      <c r="F3" s="63">
        <v>2027.0</v>
      </c>
      <c r="G3" s="66">
        <v>1.24</v>
      </c>
      <c r="H3" s="64">
        <v>0.0</v>
      </c>
      <c r="I3" s="3" t="s">
        <v>795</v>
      </c>
    </row>
    <row r="4" ht="15.75" customHeight="1">
      <c r="A4" s="3" t="s">
        <v>796</v>
      </c>
      <c r="B4" s="3" t="s">
        <v>389</v>
      </c>
      <c r="C4" s="65">
        <v>46569.0</v>
      </c>
      <c r="D4" s="65">
        <v>46752.0</v>
      </c>
      <c r="E4" s="3" t="s">
        <v>791</v>
      </c>
      <c r="F4" s="63">
        <v>2027.0</v>
      </c>
      <c r="G4" s="66">
        <v>1.24</v>
      </c>
      <c r="H4" s="64">
        <v>0.0</v>
      </c>
      <c r="I4" s="3" t="s">
        <v>795</v>
      </c>
    </row>
    <row r="5" ht="15.75" customHeight="1">
      <c r="A5" s="3" t="s">
        <v>797</v>
      </c>
      <c r="B5" s="3" t="s">
        <v>389</v>
      </c>
      <c r="C5" s="65">
        <v>46753.0</v>
      </c>
      <c r="D5" s="65">
        <v>46934.0</v>
      </c>
      <c r="E5" s="3" t="s">
        <v>794</v>
      </c>
      <c r="F5" s="63">
        <v>2028.0</v>
      </c>
      <c r="G5" s="66">
        <v>1.39</v>
      </c>
      <c r="H5" s="64">
        <v>0.0</v>
      </c>
      <c r="I5" s="3" t="s">
        <v>795</v>
      </c>
    </row>
    <row r="6" ht="15.75" customHeight="1">
      <c r="A6" s="3" t="s">
        <v>798</v>
      </c>
      <c r="B6" s="3" t="s">
        <v>389</v>
      </c>
      <c r="C6" s="65">
        <v>46935.0</v>
      </c>
      <c r="D6" s="65">
        <v>47118.0</v>
      </c>
      <c r="E6" s="3" t="s">
        <v>791</v>
      </c>
      <c r="F6" s="63">
        <v>2028.0</v>
      </c>
      <c r="G6" s="66">
        <v>1.45</v>
      </c>
      <c r="H6" s="64">
        <v>0.0</v>
      </c>
      <c r="I6" s="3" t="s">
        <v>795</v>
      </c>
    </row>
    <row r="7" ht="15.75" customHeight="1">
      <c r="A7" s="3" t="s">
        <v>799</v>
      </c>
      <c r="B7" s="3" t="s">
        <v>389</v>
      </c>
      <c r="C7" s="65">
        <v>47119.0</v>
      </c>
      <c r="D7" s="65">
        <v>47299.0</v>
      </c>
      <c r="E7" s="3" t="s">
        <v>794</v>
      </c>
      <c r="F7" s="63">
        <v>2029.0</v>
      </c>
      <c r="G7" s="66">
        <v>1.7</v>
      </c>
      <c r="H7" s="64">
        <v>0.0</v>
      </c>
      <c r="I7" s="3" t="s">
        <v>795</v>
      </c>
    </row>
    <row r="8" ht="15.75" customHeight="1">
      <c r="G8" s="3" t="s">
        <v>800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38"/>
    <col customWidth="1" min="3" max="3" width="15.63"/>
    <col customWidth="1" min="4" max="4" width="13.38"/>
    <col customWidth="1" min="5" max="5" width="12.0"/>
    <col customWidth="1" min="6" max="6" width="9.88"/>
    <col customWidth="1" min="7" max="7" width="52.75"/>
  </cols>
  <sheetData>
    <row r="1" ht="15.75" customHeight="1">
      <c r="A1" s="28" t="s">
        <v>801</v>
      </c>
      <c r="B1" s="28" t="s">
        <v>802</v>
      </c>
      <c r="C1" s="28" t="s">
        <v>803</v>
      </c>
      <c r="D1" s="28" t="s">
        <v>804</v>
      </c>
      <c r="E1" s="28" t="s">
        <v>805</v>
      </c>
      <c r="F1" s="28" t="s">
        <v>806</v>
      </c>
      <c r="G1" s="28" t="s">
        <v>330</v>
      </c>
    </row>
    <row r="2" ht="15.75" customHeight="1">
      <c r="A2" s="67">
        <v>46023.0</v>
      </c>
      <c r="B2" s="28" t="s">
        <v>807</v>
      </c>
      <c r="C2" s="28" t="s">
        <v>808</v>
      </c>
      <c r="D2" s="28" t="s">
        <v>809</v>
      </c>
      <c r="E2" s="28" t="s">
        <v>808</v>
      </c>
      <c r="F2" s="28" t="s">
        <v>810</v>
      </c>
      <c r="G2" s="28" t="s">
        <v>811</v>
      </c>
    </row>
    <row r="3" ht="15.75" customHeight="1">
      <c r="A3" s="67">
        <v>46069.0</v>
      </c>
      <c r="B3" s="28" t="s">
        <v>812</v>
      </c>
      <c r="C3" s="28" t="s">
        <v>813</v>
      </c>
      <c r="D3" s="28" t="s">
        <v>814</v>
      </c>
      <c r="E3" s="28" t="s">
        <v>813</v>
      </c>
      <c r="F3" s="28" t="s">
        <v>699</v>
      </c>
      <c r="G3" s="28" t="s">
        <v>815</v>
      </c>
    </row>
    <row r="4" ht="15.75" customHeight="1">
      <c r="A4" s="67">
        <v>46070.0</v>
      </c>
      <c r="B4" s="28" t="s">
        <v>816</v>
      </c>
      <c r="C4" s="28" t="s">
        <v>817</v>
      </c>
      <c r="D4" s="28" t="s">
        <v>814</v>
      </c>
      <c r="E4" s="28" t="s">
        <v>808</v>
      </c>
      <c r="F4" s="28" t="s">
        <v>810</v>
      </c>
      <c r="G4" s="28" t="s">
        <v>818</v>
      </c>
    </row>
    <row r="5" ht="15.75" customHeight="1">
      <c r="A5" s="67">
        <v>46114.0</v>
      </c>
      <c r="B5" s="28" t="s">
        <v>819</v>
      </c>
      <c r="C5" s="28" t="s">
        <v>813</v>
      </c>
      <c r="D5" s="28" t="s">
        <v>809</v>
      </c>
      <c r="E5" s="28" t="s">
        <v>813</v>
      </c>
      <c r="F5" s="28" t="s">
        <v>699</v>
      </c>
      <c r="G5" s="28" t="s">
        <v>820</v>
      </c>
    </row>
    <row r="6" ht="15.75" customHeight="1">
      <c r="A6" s="67">
        <v>46115.0</v>
      </c>
      <c r="B6" s="28" t="s">
        <v>821</v>
      </c>
      <c r="C6" s="28" t="s">
        <v>808</v>
      </c>
      <c r="D6" s="28" t="s">
        <v>809</v>
      </c>
      <c r="E6" s="28" t="s">
        <v>808</v>
      </c>
      <c r="F6" s="28" t="s">
        <v>810</v>
      </c>
      <c r="G6" s="28" t="s">
        <v>822</v>
      </c>
    </row>
    <row r="7" ht="15.75" customHeight="1">
      <c r="A7" s="67">
        <v>46132.0</v>
      </c>
      <c r="B7" s="28" t="s">
        <v>823</v>
      </c>
      <c r="C7" s="28" t="s">
        <v>813</v>
      </c>
      <c r="D7" s="28" t="s">
        <v>809</v>
      </c>
      <c r="E7" s="28" t="s">
        <v>813</v>
      </c>
      <c r="F7" s="28" t="s">
        <v>699</v>
      </c>
      <c r="G7" s="28" t="s">
        <v>824</v>
      </c>
    </row>
    <row r="8" ht="15.75" customHeight="1">
      <c r="A8" s="67">
        <v>46133.0</v>
      </c>
      <c r="B8" s="28" t="s">
        <v>825</v>
      </c>
      <c r="C8" s="28" t="s">
        <v>808</v>
      </c>
      <c r="D8" s="28" t="s">
        <v>809</v>
      </c>
      <c r="E8" s="28" t="s">
        <v>808</v>
      </c>
      <c r="F8" s="28" t="s">
        <v>810</v>
      </c>
      <c r="G8" s="28" t="s">
        <v>811</v>
      </c>
    </row>
    <row r="9" ht="15.75" customHeight="1">
      <c r="A9" s="67">
        <v>46142.0</v>
      </c>
      <c r="B9" s="28" t="s">
        <v>826</v>
      </c>
      <c r="C9" s="28" t="s">
        <v>813</v>
      </c>
      <c r="D9" s="28" t="s">
        <v>809</v>
      </c>
      <c r="E9" s="28" t="s">
        <v>813</v>
      </c>
      <c r="F9" s="28" t="s">
        <v>699</v>
      </c>
      <c r="G9" s="28" t="s">
        <v>827</v>
      </c>
    </row>
    <row r="10" ht="15.75" customHeight="1">
      <c r="A10" s="67">
        <v>46143.0</v>
      </c>
      <c r="B10" s="28" t="s">
        <v>828</v>
      </c>
      <c r="C10" s="28" t="s">
        <v>808</v>
      </c>
      <c r="D10" s="28" t="s">
        <v>809</v>
      </c>
      <c r="E10" s="28" t="s">
        <v>808</v>
      </c>
      <c r="F10" s="28" t="s">
        <v>810</v>
      </c>
      <c r="G10" s="28" t="s">
        <v>811</v>
      </c>
    </row>
    <row r="11" ht="15.75" customHeight="1">
      <c r="A11" s="67">
        <v>46176.0</v>
      </c>
      <c r="B11" s="28" t="s">
        <v>829</v>
      </c>
      <c r="C11" s="28" t="s">
        <v>813</v>
      </c>
      <c r="D11" s="28" t="s">
        <v>830</v>
      </c>
      <c r="E11" s="28" t="s">
        <v>813</v>
      </c>
      <c r="F11" s="28" t="s">
        <v>699</v>
      </c>
      <c r="G11" s="28" t="s">
        <v>831</v>
      </c>
    </row>
    <row r="12" ht="15.75" customHeight="1">
      <c r="A12" s="67">
        <v>46177.0</v>
      </c>
      <c r="B12" s="28" t="s">
        <v>832</v>
      </c>
      <c r="C12" s="28" t="s">
        <v>817</v>
      </c>
      <c r="D12" s="28" t="s">
        <v>830</v>
      </c>
      <c r="E12" s="28" t="s">
        <v>808</v>
      </c>
      <c r="F12" s="28" t="s">
        <v>810</v>
      </c>
      <c r="G12" s="28" t="s">
        <v>833</v>
      </c>
    </row>
    <row r="13" ht="15.75" customHeight="1">
      <c r="A13" s="67">
        <v>46211.0</v>
      </c>
      <c r="B13" s="28" t="s">
        <v>834</v>
      </c>
      <c r="C13" s="28" t="s">
        <v>813</v>
      </c>
      <c r="D13" s="28" t="s">
        <v>835</v>
      </c>
      <c r="E13" s="28" t="s">
        <v>813</v>
      </c>
      <c r="F13" s="28" t="s">
        <v>699</v>
      </c>
      <c r="G13" s="28" t="s">
        <v>836</v>
      </c>
    </row>
    <row r="14" ht="15.75" customHeight="1">
      <c r="A14" s="67">
        <v>46212.0</v>
      </c>
      <c r="B14" s="28" t="s">
        <v>837</v>
      </c>
      <c r="C14" s="28" t="s">
        <v>808</v>
      </c>
      <c r="D14" s="28" t="s">
        <v>835</v>
      </c>
      <c r="E14" s="28" t="s">
        <v>808</v>
      </c>
      <c r="F14" s="28" t="s">
        <v>810</v>
      </c>
      <c r="G14" s="28" t="s">
        <v>838</v>
      </c>
    </row>
    <row r="15" ht="15.75" customHeight="1">
      <c r="A15" s="67">
        <v>46271.0</v>
      </c>
      <c r="B15" s="28" t="s">
        <v>839</v>
      </c>
      <c r="C15" s="28" t="s">
        <v>813</v>
      </c>
      <c r="D15" s="28" t="s">
        <v>809</v>
      </c>
      <c r="E15" s="28" t="s">
        <v>813</v>
      </c>
      <c r="F15" s="28" t="s">
        <v>699</v>
      </c>
      <c r="G15" s="28" t="s">
        <v>840</v>
      </c>
    </row>
    <row r="16" ht="15.75" customHeight="1">
      <c r="A16" s="67">
        <v>46272.0</v>
      </c>
      <c r="B16" s="28" t="s">
        <v>841</v>
      </c>
      <c r="C16" s="28" t="s">
        <v>808</v>
      </c>
      <c r="D16" s="28" t="s">
        <v>809</v>
      </c>
      <c r="E16" s="28" t="s">
        <v>808</v>
      </c>
      <c r="F16" s="28" t="s">
        <v>810</v>
      </c>
      <c r="G16" s="28" t="s">
        <v>811</v>
      </c>
    </row>
    <row r="17" ht="15.75" customHeight="1">
      <c r="A17" s="68">
        <v>46306.0</v>
      </c>
      <c r="B17" s="28" t="s">
        <v>842</v>
      </c>
      <c r="C17" s="28" t="s">
        <v>813</v>
      </c>
      <c r="D17" s="28" t="s">
        <v>809</v>
      </c>
      <c r="E17" s="28" t="s">
        <v>813</v>
      </c>
      <c r="F17" s="28" t="s">
        <v>699</v>
      </c>
      <c r="G17" s="28" t="s">
        <v>843</v>
      </c>
    </row>
    <row r="18" ht="15.75" customHeight="1">
      <c r="A18" s="68">
        <v>46307.0</v>
      </c>
      <c r="B18" s="28" t="s">
        <v>844</v>
      </c>
      <c r="C18" s="28" t="s">
        <v>808</v>
      </c>
      <c r="D18" s="28" t="s">
        <v>809</v>
      </c>
      <c r="E18" s="28" t="s">
        <v>808</v>
      </c>
      <c r="F18" s="28" t="s">
        <v>810</v>
      </c>
      <c r="G18" s="28" t="s">
        <v>811</v>
      </c>
    </row>
    <row r="19" ht="15.75" customHeight="1">
      <c r="A19" s="67">
        <v>46327.0</v>
      </c>
      <c r="B19" s="28" t="s">
        <v>845</v>
      </c>
      <c r="C19" s="28" t="s">
        <v>813</v>
      </c>
      <c r="D19" s="28" t="s">
        <v>809</v>
      </c>
      <c r="E19" s="28" t="s">
        <v>813</v>
      </c>
      <c r="F19" s="28" t="s">
        <v>699</v>
      </c>
      <c r="G19" s="28" t="s">
        <v>846</v>
      </c>
    </row>
    <row r="20" ht="15.75" customHeight="1">
      <c r="A20" s="67">
        <v>46328.0</v>
      </c>
      <c r="B20" s="28" t="s">
        <v>847</v>
      </c>
      <c r="C20" s="28" t="s">
        <v>808</v>
      </c>
      <c r="D20" s="28" t="s">
        <v>809</v>
      </c>
      <c r="E20" s="28" t="s">
        <v>808</v>
      </c>
      <c r="F20" s="28" t="s">
        <v>810</v>
      </c>
      <c r="G20" s="28" t="s">
        <v>811</v>
      </c>
    </row>
    <row r="21" ht="15.75" customHeight="1">
      <c r="A21" s="68">
        <v>46340.0</v>
      </c>
      <c r="B21" s="28" t="s">
        <v>848</v>
      </c>
      <c r="C21" s="28" t="s">
        <v>813</v>
      </c>
      <c r="D21" s="28" t="s">
        <v>809</v>
      </c>
      <c r="E21" s="28" t="s">
        <v>813</v>
      </c>
      <c r="F21" s="28" t="s">
        <v>699</v>
      </c>
      <c r="G21" s="28" t="s">
        <v>849</v>
      </c>
    </row>
    <row r="22" ht="15.75" customHeight="1">
      <c r="A22" s="68">
        <v>46341.0</v>
      </c>
      <c r="B22" s="28" t="s">
        <v>850</v>
      </c>
      <c r="C22" s="28" t="s">
        <v>808</v>
      </c>
      <c r="D22" s="28" t="s">
        <v>809</v>
      </c>
      <c r="E22" s="28" t="s">
        <v>808</v>
      </c>
      <c r="F22" s="28" t="s">
        <v>810</v>
      </c>
      <c r="G22" s="28" t="s">
        <v>811</v>
      </c>
    </row>
    <row r="23" ht="15.75" customHeight="1">
      <c r="A23" s="68">
        <v>46345.0</v>
      </c>
      <c r="B23" s="28" t="s">
        <v>851</v>
      </c>
      <c r="C23" s="28" t="s">
        <v>813</v>
      </c>
      <c r="D23" s="28" t="s">
        <v>809</v>
      </c>
      <c r="E23" s="28" t="s">
        <v>813</v>
      </c>
      <c r="F23" s="28" t="s">
        <v>699</v>
      </c>
      <c r="G23" s="28" t="s">
        <v>852</v>
      </c>
    </row>
    <row r="24" ht="15.75" customHeight="1">
      <c r="A24" s="68">
        <v>46346.0</v>
      </c>
      <c r="B24" s="28" t="s">
        <v>853</v>
      </c>
      <c r="C24" s="28" t="s">
        <v>808</v>
      </c>
      <c r="D24" s="28" t="s">
        <v>809</v>
      </c>
      <c r="E24" s="28" t="s">
        <v>808</v>
      </c>
      <c r="F24" s="28" t="s">
        <v>810</v>
      </c>
      <c r="G24" s="28" t="s">
        <v>811</v>
      </c>
    </row>
    <row r="25" ht="15.75" customHeight="1">
      <c r="A25" s="67">
        <v>46363.0</v>
      </c>
      <c r="B25" s="28" t="s">
        <v>854</v>
      </c>
      <c r="C25" s="28" t="s">
        <v>813</v>
      </c>
      <c r="D25" s="28" t="s">
        <v>855</v>
      </c>
      <c r="E25" s="28" t="s">
        <v>813</v>
      </c>
      <c r="F25" s="28" t="s">
        <v>699</v>
      </c>
      <c r="G25" s="28" t="s">
        <v>856</v>
      </c>
    </row>
    <row r="26" ht="15.75" customHeight="1">
      <c r="A26" s="67">
        <v>46364.0</v>
      </c>
      <c r="B26" s="28" t="s">
        <v>857</v>
      </c>
      <c r="C26" s="28" t="s">
        <v>808</v>
      </c>
      <c r="D26" s="28" t="s">
        <v>855</v>
      </c>
      <c r="E26" s="28" t="s">
        <v>808</v>
      </c>
      <c r="F26" s="28" t="s">
        <v>810</v>
      </c>
      <c r="G26" s="28" t="s">
        <v>858</v>
      </c>
    </row>
    <row r="27" ht="15.75" customHeight="1">
      <c r="A27" s="68">
        <v>46380.0</v>
      </c>
      <c r="B27" s="28" t="s">
        <v>859</v>
      </c>
      <c r="C27" s="28" t="s">
        <v>813</v>
      </c>
      <c r="D27" s="28" t="s">
        <v>809</v>
      </c>
      <c r="E27" s="28" t="s">
        <v>813</v>
      </c>
      <c r="F27" s="28" t="s">
        <v>699</v>
      </c>
      <c r="G27" s="28" t="s">
        <v>860</v>
      </c>
    </row>
    <row r="28" ht="15.75" customHeight="1">
      <c r="A28" s="68">
        <v>46381.0</v>
      </c>
      <c r="B28" s="28" t="s">
        <v>861</v>
      </c>
      <c r="C28" s="28" t="s">
        <v>808</v>
      </c>
      <c r="D28" s="28" t="s">
        <v>809</v>
      </c>
      <c r="E28" s="28" t="s">
        <v>808</v>
      </c>
      <c r="F28" s="28" t="s">
        <v>810</v>
      </c>
      <c r="G28" s="28" t="s">
        <v>811</v>
      </c>
    </row>
    <row r="29" ht="15.75" customHeight="1">
      <c r="A29" s="68">
        <v>46387.0</v>
      </c>
      <c r="B29" s="28" t="s">
        <v>862</v>
      </c>
      <c r="C29" s="28" t="s">
        <v>813</v>
      </c>
      <c r="D29" s="28" t="s">
        <v>809</v>
      </c>
      <c r="E29" s="28" t="s">
        <v>813</v>
      </c>
      <c r="F29" s="28" t="s">
        <v>699</v>
      </c>
      <c r="G29" s="28" t="s">
        <v>863</v>
      </c>
    </row>
    <row r="30" ht="15.75" customHeight="1">
      <c r="A30" s="67">
        <v>46388.0</v>
      </c>
      <c r="B30" s="28" t="s">
        <v>807</v>
      </c>
      <c r="C30" s="28" t="s">
        <v>808</v>
      </c>
      <c r="D30" s="28" t="s">
        <v>809</v>
      </c>
      <c r="E30" s="28" t="s">
        <v>808</v>
      </c>
      <c r="F30" s="28" t="s">
        <v>810</v>
      </c>
      <c r="G30" s="28" t="s">
        <v>811</v>
      </c>
    </row>
    <row r="31" ht="15.75" customHeight="1">
      <c r="A31" s="67">
        <v>46426.0</v>
      </c>
      <c r="B31" s="28" t="s">
        <v>812</v>
      </c>
      <c r="C31" s="28" t="s">
        <v>813</v>
      </c>
      <c r="D31" s="28" t="s">
        <v>814</v>
      </c>
      <c r="E31" s="28" t="s">
        <v>813</v>
      </c>
      <c r="F31" s="28" t="s">
        <v>699</v>
      </c>
      <c r="G31" s="28" t="s">
        <v>815</v>
      </c>
    </row>
    <row r="32" ht="15.75" customHeight="1">
      <c r="A32" s="67">
        <v>46427.0</v>
      </c>
      <c r="B32" s="28" t="s">
        <v>816</v>
      </c>
      <c r="C32" s="28" t="s">
        <v>817</v>
      </c>
      <c r="D32" s="28" t="s">
        <v>814</v>
      </c>
      <c r="E32" s="28" t="s">
        <v>808</v>
      </c>
      <c r="F32" s="28" t="s">
        <v>810</v>
      </c>
      <c r="G32" s="28" t="s">
        <v>818</v>
      </c>
    </row>
    <row r="33" ht="15.75" customHeight="1">
      <c r="A33" s="67">
        <v>46471.0</v>
      </c>
      <c r="B33" s="28" t="s">
        <v>819</v>
      </c>
      <c r="C33" s="28" t="s">
        <v>813</v>
      </c>
      <c r="D33" s="28" t="s">
        <v>809</v>
      </c>
      <c r="E33" s="28" t="s">
        <v>813</v>
      </c>
      <c r="F33" s="28" t="s">
        <v>699</v>
      </c>
      <c r="G33" s="28" t="s">
        <v>820</v>
      </c>
    </row>
    <row r="34" ht="15.75" customHeight="1">
      <c r="A34" s="67">
        <v>46472.0</v>
      </c>
      <c r="B34" s="28" t="s">
        <v>821</v>
      </c>
      <c r="C34" s="28" t="s">
        <v>808</v>
      </c>
      <c r="D34" s="28" t="s">
        <v>809</v>
      </c>
      <c r="E34" s="28" t="s">
        <v>808</v>
      </c>
      <c r="F34" s="28" t="s">
        <v>810</v>
      </c>
      <c r="G34" s="28" t="s">
        <v>822</v>
      </c>
    </row>
    <row r="35" ht="15.75" customHeight="1">
      <c r="A35" s="67">
        <v>46497.0</v>
      </c>
      <c r="B35" s="28" t="s">
        <v>823</v>
      </c>
      <c r="C35" s="28" t="s">
        <v>813</v>
      </c>
      <c r="D35" s="28" t="s">
        <v>809</v>
      </c>
      <c r="E35" s="28" t="s">
        <v>813</v>
      </c>
      <c r="F35" s="28" t="s">
        <v>699</v>
      </c>
      <c r="G35" s="28" t="s">
        <v>824</v>
      </c>
    </row>
    <row r="36" ht="15.75" customHeight="1">
      <c r="A36" s="67">
        <v>46498.0</v>
      </c>
      <c r="B36" s="28" t="s">
        <v>825</v>
      </c>
      <c r="C36" s="28" t="s">
        <v>808</v>
      </c>
      <c r="D36" s="28" t="s">
        <v>809</v>
      </c>
      <c r="E36" s="28" t="s">
        <v>808</v>
      </c>
      <c r="F36" s="28" t="s">
        <v>810</v>
      </c>
      <c r="G36" s="28" t="s">
        <v>811</v>
      </c>
    </row>
    <row r="37" ht="15.75" customHeight="1">
      <c r="A37" s="67">
        <v>46507.0</v>
      </c>
      <c r="B37" s="28" t="s">
        <v>826</v>
      </c>
      <c r="C37" s="28" t="s">
        <v>813</v>
      </c>
      <c r="D37" s="28" t="s">
        <v>809</v>
      </c>
      <c r="E37" s="28" t="s">
        <v>813</v>
      </c>
      <c r="F37" s="28" t="s">
        <v>699</v>
      </c>
      <c r="G37" s="28" t="s">
        <v>827</v>
      </c>
    </row>
    <row r="38" ht="15.75" customHeight="1">
      <c r="A38" s="67">
        <v>46508.0</v>
      </c>
      <c r="B38" s="28" t="s">
        <v>828</v>
      </c>
      <c r="C38" s="28" t="s">
        <v>808</v>
      </c>
      <c r="D38" s="28" t="s">
        <v>809</v>
      </c>
      <c r="E38" s="28" t="s">
        <v>808</v>
      </c>
      <c r="F38" s="28" t="s">
        <v>810</v>
      </c>
      <c r="G38" s="28" t="s">
        <v>811</v>
      </c>
    </row>
    <row r="39" ht="15.75" customHeight="1">
      <c r="A39" s="67">
        <v>46533.0</v>
      </c>
      <c r="B39" s="28" t="s">
        <v>829</v>
      </c>
      <c r="C39" s="28" t="s">
        <v>813</v>
      </c>
      <c r="D39" s="28" t="s">
        <v>830</v>
      </c>
      <c r="E39" s="28" t="s">
        <v>813</v>
      </c>
      <c r="F39" s="28" t="s">
        <v>699</v>
      </c>
      <c r="G39" s="28" t="s">
        <v>831</v>
      </c>
    </row>
    <row r="40" ht="15.75" customHeight="1">
      <c r="A40" s="67">
        <v>46534.0</v>
      </c>
      <c r="B40" s="28" t="s">
        <v>832</v>
      </c>
      <c r="C40" s="28" t="s">
        <v>817</v>
      </c>
      <c r="D40" s="28" t="s">
        <v>830</v>
      </c>
      <c r="E40" s="28" t="s">
        <v>808</v>
      </c>
      <c r="F40" s="28" t="s">
        <v>810</v>
      </c>
      <c r="G40" s="28" t="s">
        <v>833</v>
      </c>
    </row>
    <row r="41" ht="15.75" customHeight="1">
      <c r="A41" s="67">
        <v>46576.0</v>
      </c>
      <c r="B41" s="28" t="s">
        <v>834</v>
      </c>
      <c r="C41" s="28" t="s">
        <v>813</v>
      </c>
      <c r="D41" s="28" t="s">
        <v>835</v>
      </c>
      <c r="E41" s="28" t="s">
        <v>813</v>
      </c>
      <c r="F41" s="28" t="s">
        <v>699</v>
      </c>
      <c r="G41" s="28" t="s">
        <v>836</v>
      </c>
    </row>
    <row r="42" ht="15.75" customHeight="1">
      <c r="A42" s="67">
        <v>46577.0</v>
      </c>
      <c r="B42" s="28" t="s">
        <v>837</v>
      </c>
      <c r="C42" s="28" t="s">
        <v>808</v>
      </c>
      <c r="D42" s="28" t="s">
        <v>835</v>
      </c>
      <c r="E42" s="28" t="s">
        <v>808</v>
      </c>
      <c r="F42" s="28" t="s">
        <v>810</v>
      </c>
      <c r="G42" s="28" t="s">
        <v>838</v>
      </c>
    </row>
    <row r="43" ht="15.75" customHeight="1">
      <c r="A43" s="67">
        <v>46636.0</v>
      </c>
      <c r="B43" s="28" t="s">
        <v>839</v>
      </c>
      <c r="C43" s="28" t="s">
        <v>813</v>
      </c>
      <c r="D43" s="28" t="s">
        <v>809</v>
      </c>
      <c r="E43" s="28" t="s">
        <v>813</v>
      </c>
      <c r="F43" s="28" t="s">
        <v>699</v>
      </c>
      <c r="G43" s="28" t="s">
        <v>840</v>
      </c>
    </row>
    <row r="44" ht="15.75" customHeight="1">
      <c r="A44" s="67">
        <v>46637.0</v>
      </c>
      <c r="B44" s="28" t="s">
        <v>841</v>
      </c>
      <c r="C44" s="28" t="s">
        <v>808</v>
      </c>
      <c r="D44" s="28" t="s">
        <v>809</v>
      </c>
      <c r="E44" s="28" t="s">
        <v>808</v>
      </c>
      <c r="F44" s="28" t="s">
        <v>810</v>
      </c>
      <c r="G44" s="28" t="s">
        <v>811</v>
      </c>
    </row>
    <row r="45" ht="15.75" customHeight="1">
      <c r="A45" s="68">
        <v>46671.0</v>
      </c>
      <c r="B45" s="28" t="s">
        <v>842</v>
      </c>
      <c r="C45" s="28" t="s">
        <v>813</v>
      </c>
      <c r="D45" s="28" t="s">
        <v>809</v>
      </c>
      <c r="E45" s="28" t="s">
        <v>813</v>
      </c>
      <c r="F45" s="28" t="s">
        <v>699</v>
      </c>
      <c r="G45" s="28" t="s">
        <v>843</v>
      </c>
    </row>
    <row r="46" ht="15.75" customHeight="1">
      <c r="A46" s="68">
        <v>46672.0</v>
      </c>
      <c r="B46" s="28" t="s">
        <v>844</v>
      </c>
      <c r="C46" s="28" t="s">
        <v>808</v>
      </c>
      <c r="D46" s="28" t="s">
        <v>809</v>
      </c>
      <c r="E46" s="28" t="s">
        <v>808</v>
      </c>
      <c r="F46" s="28" t="s">
        <v>810</v>
      </c>
      <c r="G46" s="28" t="s">
        <v>811</v>
      </c>
    </row>
    <row r="47" ht="15.75" customHeight="1">
      <c r="A47" s="67">
        <v>46692.0</v>
      </c>
      <c r="B47" s="28" t="s">
        <v>845</v>
      </c>
      <c r="C47" s="28" t="s">
        <v>813</v>
      </c>
      <c r="D47" s="28" t="s">
        <v>809</v>
      </c>
      <c r="E47" s="28" t="s">
        <v>813</v>
      </c>
      <c r="F47" s="28" t="s">
        <v>699</v>
      </c>
      <c r="G47" s="28" t="s">
        <v>846</v>
      </c>
    </row>
    <row r="48" ht="15.75" customHeight="1">
      <c r="A48" s="67">
        <v>46693.0</v>
      </c>
      <c r="B48" s="28" t="s">
        <v>847</v>
      </c>
      <c r="C48" s="28" t="s">
        <v>808</v>
      </c>
      <c r="D48" s="28" t="s">
        <v>809</v>
      </c>
      <c r="E48" s="28" t="s">
        <v>808</v>
      </c>
      <c r="F48" s="28" t="s">
        <v>810</v>
      </c>
      <c r="G48" s="28" t="s">
        <v>811</v>
      </c>
    </row>
    <row r="49" ht="15.75" customHeight="1">
      <c r="A49" s="68">
        <v>46705.0</v>
      </c>
      <c r="B49" s="28" t="s">
        <v>848</v>
      </c>
      <c r="C49" s="28" t="s">
        <v>813</v>
      </c>
      <c r="D49" s="28" t="s">
        <v>809</v>
      </c>
      <c r="E49" s="28" t="s">
        <v>813</v>
      </c>
      <c r="F49" s="28" t="s">
        <v>699</v>
      </c>
      <c r="G49" s="28" t="s">
        <v>849</v>
      </c>
    </row>
    <row r="50" ht="15.75" customHeight="1">
      <c r="A50" s="68">
        <v>46706.0</v>
      </c>
      <c r="B50" s="28" t="s">
        <v>850</v>
      </c>
      <c r="C50" s="28" t="s">
        <v>808</v>
      </c>
      <c r="D50" s="28" t="s">
        <v>809</v>
      </c>
      <c r="E50" s="28" t="s">
        <v>808</v>
      </c>
      <c r="F50" s="28" t="s">
        <v>810</v>
      </c>
      <c r="G50" s="28" t="s">
        <v>811</v>
      </c>
    </row>
    <row r="51" ht="15.75" customHeight="1">
      <c r="A51" s="68">
        <v>46710.0</v>
      </c>
      <c r="B51" s="28" t="s">
        <v>851</v>
      </c>
      <c r="C51" s="28" t="s">
        <v>813</v>
      </c>
      <c r="D51" s="28" t="s">
        <v>809</v>
      </c>
      <c r="E51" s="28" t="s">
        <v>813</v>
      </c>
      <c r="F51" s="28" t="s">
        <v>699</v>
      </c>
      <c r="G51" s="28" t="s">
        <v>852</v>
      </c>
    </row>
    <row r="52" ht="15.75" customHeight="1">
      <c r="A52" s="68">
        <v>46711.0</v>
      </c>
      <c r="B52" s="28" t="s">
        <v>853</v>
      </c>
      <c r="C52" s="28" t="s">
        <v>808</v>
      </c>
      <c r="D52" s="28" t="s">
        <v>809</v>
      </c>
      <c r="E52" s="28" t="s">
        <v>808</v>
      </c>
      <c r="F52" s="28" t="s">
        <v>810</v>
      </c>
      <c r="G52" s="28" t="s">
        <v>811</v>
      </c>
    </row>
    <row r="53" ht="15.75" customHeight="1">
      <c r="A53" s="67">
        <v>46728.0</v>
      </c>
      <c r="B53" s="28" t="s">
        <v>854</v>
      </c>
      <c r="C53" s="28" t="s">
        <v>813</v>
      </c>
      <c r="D53" s="28" t="s">
        <v>855</v>
      </c>
      <c r="E53" s="28" t="s">
        <v>813</v>
      </c>
      <c r="F53" s="28" t="s">
        <v>699</v>
      </c>
      <c r="G53" s="28" t="s">
        <v>856</v>
      </c>
    </row>
    <row r="54" ht="15.75" customHeight="1">
      <c r="A54" s="67">
        <v>46729.0</v>
      </c>
      <c r="B54" s="28" t="s">
        <v>857</v>
      </c>
      <c r="C54" s="28" t="s">
        <v>808</v>
      </c>
      <c r="D54" s="28" t="s">
        <v>855</v>
      </c>
      <c r="E54" s="28" t="s">
        <v>808</v>
      </c>
      <c r="F54" s="28" t="s">
        <v>810</v>
      </c>
      <c r="G54" s="28" t="s">
        <v>858</v>
      </c>
    </row>
    <row r="55" ht="15.75" customHeight="1">
      <c r="A55" s="68">
        <v>46745.0</v>
      </c>
      <c r="B55" s="28" t="s">
        <v>859</v>
      </c>
      <c r="C55" s="28" t="s">
        <v>813</v>
      </c>
      <c r="D55" s="28" t="s">
        <v>809</v>
      </c>
      <c r="E55" s="28" t="s">
        <v>813</v>
      </c>
      <c r="F55" s="28" t="s">
        <v>699</v>
      </c>
      <c r="G55" s="28" t="s">
        <v>860</v>
      </c>
    </row>
    <row r="56" ht="15.75" customHeight="1">
      <c r="A56" s="68">
        <v>46746.0</v>
      </c>
      <c r="B56" s="28" t="s">
        <v>861</v>
      </c>
      <c r="C56" s="28" t="s">
        <v>808</v>
      </c>
      <c r="D56" s="28" t="s">
        <v>809</v>
      </c>
      <c r="E56" s="28" t="s">
        <v>808</v>
      </c>
      <c r="F56" s="28" t="s">
        <v>810</v>
      </c>
      <c r="G56" s="28" t="s">
        <v>811</v>
      </c>
    </row>
    <row r="57" ht="15.75" customHeight="1">
      <c r="A57" s="68">
        <v>46752.0</v>
      </c>
      <c r="B57" s="28" t="s">
        <v>862</v>
      </c>
      <c r="C57" s="28" t="s">
        <v>813</v>
      </c>
      <c r="D57" s="28" t="s">
        <v>809</v>
      </c>
      <c r="E57" s="28" t="s">
        <v>813</v>
      </c>
      <c r="F57" s="28" t="s">
        <v>699</v>
      </c>
      <c r="G57" s="28" t="s">
        <v>863</v>
      </c>
    </row>
    <row r="58" ht="15.75" customHeight="1">
      <c r="A58" s="67">
        <v>46753.0</v>
      </c>
      <c r="B58" s="28" t="s">
        <v>807</v>
      </c>
      <c r="C58" s="28" t="s">
        <v>808</v>
      </c>
      <c r="D58" s="28" t="s">
        <v>809</v>
      </c>
      <c r="E58" s="28" t="s">
        <v>808</v>
      </c>
      <c r="F58" s="28" t="s">
        <v>810</v>
      </c>
      <c r="G58" s="28" t="s">
        <v>811</v>
      </c>
    </row>
    <row r="59" ht="15.75" customHeight="1">
      <c r="A59" s="67">
        <v>46811.0</v>
      </c>
      <c r="B59" s="28" t="s">
        <v>812</v>
      </c>
      <c r="C59" s="28" t="s">
        <v>813</v>
      </c>
      <c r="D59" s="28" t="s">
        <v>814</v>
      </c>
      <c r="E59" s="28" t="s">
        <v>813</v>
      </c>
      <c r="F59" s="28" t="s">
        <v>699</v>
      </c>
      <c r="G59" s="28" t="s">
        <v>815</v>
      </c>
    </row>
    <row r="60" ht="15.75" customHeight="1">
      <c r="A60" s="67">
        <v>46812.0</v>
      </c>
      <c r="B60" s="28" t="s">
        <v>816</v>
      </c>
      <c r="C60" s="28" t="s">
        <v>817</v>
      </c>
      <c r="D60" s="28" t="s">
        <v>814</v>
      </c>
      <c r="E60" s="28" t="s">
        <v>808</v>
      </c>
      <c r="F60" s="28" t="s">
        <v>810</v>
      </c>
      <c r="G60" s="28" t="s">
        <v>818</v>
      </c>
    </row>
    <row r="61" ht="15.75" customHeight="1">
      <c r="A61" s="67">
        <v>46856.0</v>
      </c>
      <c r="B61" s="28" t="s">
        <v>819</v>
      </c>
      <c r="C61" s="28" t="s">
        <v>813</v>
      </c>
      <c r="D61" s="28" t="s">
        <v>809</v>
      </c>
      <c r="E61" s="28" t="s">
        <v>813</v>
      </c>
      <c r="F61" s="28" t="s">
        <v>699</v>
      </c>
      <c r="G61" s="28" t="s">
        <v>820</v>
      </c>
    </row>
    <row r="62" ht="15.75" customHeight="1">
      <c r="A62" s="67">
        <v>46857.0</v>
      </c>
      <c r="B62" s="28" t="s">
        <v>821</v>
      </c>
      <c r="C62" s="28" t="s">
        <v>808</v>
      </c>
      <c r="D62" s="28" t="s">
        <v>809</v>
      </c>
      <c r="E62" s="28" t="s">
        <v>808</v>
      </c>
      <c r="F62" s="28" t="s">
        <v>810</v>
      </c>
      <c r="G62" s="28" t="s">
        <v>822</v>
      </c>
    </row>
    <row r="63" ht="15.75" customHeight="1">
      <c r="A63" s="67">
        <v>46863.0</v>
      </c>
      <c r="B63" s="28" t="s">
        <v>823</v>
      </c>
      <c r="C63" s="28" t="s">
        <v>813</v>
      </c>
      <c r="D63" s="28" t="s">
        <v>809</v>
      </c>
      <c r="E63" s="28" t="s">
        <v>813</v>
      </c>
      <c r="F63" s="28" t="s">
        <v>699</v>
      </c>
      <c r="G63" s="28" t="s">
        <v>824</v>
      </c>
    </row>
    <row r="64" ht="15.75" customHeight="1">
      <c r="A64" s="67">
        <v>46864.0</v>
      </c>
      <c r="B64" s="28" t="s">
        <v>825</v>
      </c>
      <c r="C64" s="28" t="s">
        <v>808</v>
      </c>
      <c r="D64" s="28" t="s">
        <v>809</v>
      </c>
      <c r="E64" s="28" t="s">
        <v>808</v>
      </c>
      <c r="F64" s="28" t="s">
        <v>810</v>
      </c>
      <c r="G64" s="28" t="s">
        <v>811</v>
      </c>
    </row>
    <row r="65" ht="15.75" customHeight="1">
      <c r="A65" s="67">
        <v>46873.0</v>
      </c>
      <c r="B65" s="28" t="s">
        <v>826</v>
      </c>
      <c r="C65" s="28" t="s">
        <v>813</v>
      </c>
      <c r="D65" s="28" t="s">
        <v>809</v>
      </c>
      <c r="E65" s="28" t="s">
        <v>813</v>
      </c>
      <c r="F65" s="28" t="s">
        <v>699</v>
      </c>
      <c r="G65" s="28" t="s">
        <v>827</v>
      </c>
    </row>
    <row r="66" ht="15.75" customHeight="1">
      <c r="A66" s="67">
        <v>46874.0</v>
      </c>
      <c r="B66" s="28" t="s">
        <v>828</v>
      </c>
      <c r="C66" s="28" t="s">
        <v>808</v>
      </c>
      <c r="D66" s="28" t="s">
        <v>809</v>
      </c>
      <c r="E66" s="28" t="s">
        <v>808</v>
      </c>
      <c r="F66" s="28" t="s">
        <v>810</v>
      </c>
      <c r="G66" s="28" t="s">
        <v>811</v>
      </c>
    </row>
    <row r="67" ht="15.75" customHeight="1">
      <c r="A67" s="67">
        <v>46918.0</v>
      </c>
      <c r="B67" s="28" t="s">
        <v>829</v>
      </c>
      <c r="C67" s="28" t="s">
        <v>813</v>
      </c>
      <c r="D67" s="28" t="s">
        <v>830</v>
      </c>
      <c r="E67" s="28" t="s">
        <v>813</v>
      </c>
      <c r="F67" s="28" t="s">
        <v>699</v>
      </c>
      <c r="G67" s="28" t="s">
        <v>831</v>
      </c>
    </row>
    <row r="68" ht="15.75" customHeight="1">
      <c r="A68" s="67">
        <v>46919.0</v>
      </c>
      <c r="B68" s="28" t="s">
        <v>832</v>
      </c>
      <c r="C68" s="28" t="s">
        <v>817</v>
      </c>
      <c r="D68" s="28" t="s">
        <v>830</v>
      </c>
      <c r="E68" s="28" t="s">
        <v>808</v>
      </c>
      <c r="F68" s="28" t="s">
        <v>810</v>
      </c>
      <c r="G68" s="28" t="s">
        <v>833</v>
      </c>
    </row>
    <row r="69" ht="15.75" customHeight="1">
      <c r="A69" s="67">
        <v>46942.0</v>
      </c>
      <c r="B69" s="28" t="s">
        <v>834</v>
      </c>
      <c r="C69" s="28" t="s">
        <v>813</v>
      </c>
      <c r="D69" s="28" t="s">
        <v>835</v>
      </c>
      <c r="E69" s="28" t="s">
        <v>813</v>
      </c>
      <c r="F69" s="28" t="s">
        <v>699</v>
      </c>
      <c r="G69" s="28" t="s">
        <v>836</v>
      </c>
    </row>
    <row r="70" ht="15.75" customHeight="1">
      <c r="A70" s="67">
        <v>46943.0</v>
      </c>
      <c r="B70" s="28" t="s">
        <v>837</v>
      </c>
      <c r="C70" s="28" t="s">
        <v>808</v>
      </c>
      <c r="D70" s="28" t="s">
        <v>835</v>
      </c>
      <c r="E70" s="28" t="s">
        <v>808</v>
      </c>
      <c r="F70" s="28" t="s">
        <v>810</v>
      </c>
      <c r="G70" s="28" t="s">
        <v>838</v>
      </c>
    </row>
    <row r="71" ht="15.75" customHeight="1">
      <c r="A71" s="67">
        <v>47002.0</v>
      </c>
      <c r="B71" s="28" t="s">
        <v>839</v>
      </c>
      <c r="C71" s="28" t="s">
        <v>813</v>
      </c>
      <c r="D71" s="28" t="s">
        <v>809</v>
      </c>
      <c r="E71" s="28" t="s">
        <v>813</v>
      </c>
      <c r="F71" s="28" t="s">
        <v>699</v>
      </c>
      <c r="G71" s="28" t="s">
        <v>840</v>
      </c>
    </row>
    <row r="72" ht="15.75" customHeight="1">
      <c r="A72" s="67">
        <v>47003.0</v>
      </c>
      <c r="B72" s="28" t="s">
        <v>841</v>
      </c>
      <c r="C72" s="28" t="s">
        <v>808</v>
      </c>
      <c r="D72" s="28" t="s">
        <v>809</v>
      </c>
      <c r="E72" s="28" t="s">
        <v>808</v>
      </c>
      <c r="F72" s="28" t="s">
        <v>810</v>
      </c>
      <c r="G72" s="28" t="s">
        <v>811</v>
      </c>
    </row>
    <row r="73" ht="15.75" customHeight="1">
      <c r="A73" s="68">
        <v>47037.0</v>
      </c>
      <c r="B73" s="28" t="s">
        <v>842</v>
      </c>
      <c r="C73" s="28" t="s">
        <v>813</v>
      </c>
      <c r="D73" s="28" t="s">
        <v>809</v>
      </c>
      <c r="E73" s="28" t="s">
        <v>813</v>
      </c>
      <c r="F73" s="28" t="s">
        <v>699</v>
      </c>
      <c r="G73" s="28" t="s">
        <v>843</v>
      </c>
    </row>
    <row r="74" ht="15.75" customHeight="1">
      <c r="A74" s="68">
        <v>47038.0</v>
      </c>
      <c r="B74" s="28" t="s">
        <v>844</v>
      </c>
      <c r="C74" s="28" t="s">
        <v>808</v>
      </c>
      <c r="D74" s="28" t="s">
        <v>809</v>
      </c>
      <c r="E74" s="28" t="s">
        <v>808</v>
      </c>
      <c r="F74" s="28" t="s">
        <v>810</v>
      </c>
      <c r="G74" s="28" t="s">
        <v>811</v>
      </c>
    </row>
    <row r="75" ht="15.75" customHeight="1">
      <c r="A75" s="67">
        <v>47058.0</v>
      </c>
      <c r="B75" s="28" t="s">
        <v>845</v>
      </c>
      <c r="C75" s="28" t="s">
        <v>813</v>
      </c>
      <c r="D75" s="28" t="s">
        <v>809</v>
      </c>
      <c r="E75" s="28" t="s">
        <v>813</v>
      </c>
      <c r="F75" s="28" t="s">
        <v>699</v>
      </c>
      <c r="G75" s="28" t="s">
        <v>846</v>
      </c>
    </row>
    <row r="76" ht="15.75" customHeight="1">
      <c r="A76" s="67">
        <v>47059.0</v>
      </c>
      <c r="B76" s="28" t="s">
        <v>847</v>
      </c>
      <c r="C76" s="28" t="s">
        <v>808</v>
      </c>
      <c r="D76" s="28" t="s">
        <v>809</v>
      </c>
      <c r="E76" s="28" t="s">
        <v>808</v>
      </c>
      <c r="F76" s="28" t="s">
        <v>810</v>
      </c>
      <c r="G76" s="28" t="s">
        <v>811</v>
      </c>
    </row>
    <row r="77" ht="15.75" customHeight="1">
      <c r="A77" s="68">
        <v>47071.0</v>
      </c>
      <c r="B77" s="28" t="s">
        <v>848</v>
      </c>
      <c r="C77" s="28" t="s">
        <v>813</v>
      </c>
      <c r="D77" s="28" t="s">
        <v>809</v>
      </c>
      <c r="E77" s="28" t="s">
        <v>813</v>
      </c>
      <c r="F77" s="28" t="s">
        <v>699</v>
      </c>
      <c r="G77" s="28" t="s">
        <v>849</v>
      </c>
    </row>
    <row r="78" ht="15.75" customHeight="1">
      <c r="A78" s="68">
        <v>47072.0</v>
      </c>
      <c r="B78" s="28" t="s">
        <v>850</v>
      </c>
      <c r="C78" s="28" t="s">
        <v>808</v>
      </c>
      <c r="D78" s="28" t="s">
        <v>809</v>
      </c>
      <c r="E78" s="28" t="s">
        <v>808</v>
      </c>
      <c r="F78" s="28" t="s">
        <v>810</v>
      </c>
      <c r="G78" s="28" t="s">
        <v>811</v>
      </c>
    </row>
    <row r="79" ht="15.75" customHeight="1">
      <c r="A79" s="68">
        <v>47076.0</v>
      </c>
      <c r="B79" s="28" t="s">
        <v>851</v>
      </c>
      <c r="C79" s="28" t="s">
        <v>813</v>
      </c>
      <c r="D79" s="28" t="s">
        <v>809</v>
      </c>
      <c r="E79" s="28" t="s">
        <v>813</v>
      </c>
      <c r="F79" s="28" t="s">
        <v>699</v>
      </c>
      <c r="G79" s="28" t="s">
        <v>852</v>
      </c>
    </row>
    <row r="80" ht="15.75" customHeight="1">
      <c r="A80" s="68">
        <v>47077.0</v>
      </c>
      <c r="B80" s="28" t="s">
        <v>853</v>
      </c>
      <c r="C80" s="28" t="s">
        <v>808</v>
      </c>
      <c r="D80" s="28" t="s">
        <v>809</v>
      </c>
      <c r="E80" s="28" t="s">
        <v>808</v>
      </c>
      <c r="F80" s="28" t="s">
        <v>810</v>
      </c>
      <c r="G80" s="28" t="s">
        <v>811</v>
      </c>
    </row>
    <row r="81" ht="15.75" customHeight="1">
      <c r="A81" s="67">
        <v>47094.0</v>
      </c>
      <c r="B81" s="28" t="s">
        <v>854</v>
      </c>
      <c r="C81" s="28" t="s">
        <v>813</v>
      </c>
      <c r="D81" s="28" t="s">
        <v>855</v>
      </c>
      <c r="E81" s="28" t="s">
        <v>813</v>
      </c>
      <c r="F81" s="28" t="s">
        <v>699</v>
      </c>
      <c r="G81" s="28" t="s">
        <v>856</v>
      </c>
    </row>
    <row r="82" ht="15.75" customHeight="1">
      <c r="A82" s="67">
        <v>47095.0</v>
      </c>
      <c r="B82" s="28" t="s">
        <v>857</v>
      </c>
      <c r="C82" s="28" t="s">
        <v>808</v>
      </c>
      <c r="D82" s="28" t="s">
        <v>855</v>
      </c>
      <c r="E82" s="28" t="s">
        <v>808</v>
      </c>
      <c r="F82" s="28" t="s">
        <v>810</v>
      </c>
      <c r="G82" s="28" t="s">
        <v>858</v>
      </c>
    </row>
    <row r="83" ht="15.75" customHeight="1">
      <c r="A83" s="68">
        <v>47111.0</v>
      </c>
      <c r="B83" s="28" t="s">
        <v>859</v>
      </c>
      <c r="C83" s="28" t="s">
        <v>813</v>
      </c>
      <c r="D83" s="28" t="s">
        <v>809</v>
      </c>
      <c r="E83" s="28" t="s">
        <v>813</v>
      </c>
      <c r="F83" s="28" t="s">
        <v>699</v>
      </c>
      <c r="G83" s="28" t="s">
        <v>860</v>
      </c>
    </row>
    <row r="84" ht="15.75" customHeight="1">
      <c r="A84" s="68">
        <v>47112.0</v>
      </c>
      <c r="B84" s="28" t="s">
        <v>861</v>
      </c>
      <c r="C84" s="28" t="s">
        <v>808</v>
      </c>
      <c r="D84" s="28" t="s">
        <v>809</v>
      </c>
      <c r="E84" s="28" t="s">
        <v>808</v>
      </c>
      <c r="F84" s="28" t="s">
        <v>810</v>
      </c>
      <c r="G84" s="28" t="s">
        <v>811</v>
      </c>
    </row>
    <row r="85" ht="15.75" customHeight="1">
      <c r="A85" s="68">
        <v>47118.0</v>
      </c>
      <c r="B85" s="28" t="s">
        <v>862</v>
      </c>
      <c r="C85" s="28" t="s">
        <v>813</v>
      </c>
      <c r="D85" s="28" t="s">
        <v>809</v>
      </c>
      <c r="E85" s="28" t="s">
        <v>813</v>
      </c>
      <c r="F85" s="28" t="s">
        <v>699</v>
      </c>
      <c r="G85" s="28" t="s">
        <v>863</v>
      </c>
    </row>
    <row r="86" ht="15.75" customHeight="1">
      <c r="A86" s="67">
        <v>47119.0</v>
      </c>
      <c r="B86" s="28" t="s">
        <v>807</v>
      </c>
      <c r="C86" s="28" t="s">
        <v>808</v>
      </c>
      <c r="D86" s="28" t="s">
        <v>809</v>
      </c>
      <c r="E86" s="28" t="s">
        <v>808</v>
      </c>
      <c r="F86" s="28" t="s">
        <v>810</v>
      </c>
      <c r="G86" s="28" t="s">
        <v>811</v>
      </c>
    </row>
    <row r="87" ht="15.75" customHeight="1">
      <c r="A87" s="67">
        <v>47161.0</v>
      </c>
      <c r="B87" s="28" t="s">
        <v>812</v>
      </c>
      <c r="C87" s="28" t="s">
        <v>813</v>
      </c>
      <c r="D87" s="28" t="s">
        <v>814</v>
      </c>
      <c r="E87" s="28" t="s">
        <v>813</v>
      </c>
      <c r="F87" s="28" t="s">
        <v>699</v>
      </c>
      <c r="G87" s="28" t="s">
        <v>815</v>
      </c>
    </row>
    <row r="88" ht="15.75" customHeight="1">
      <c r="A88" s="67">
        <v>47162.0</v>
      </c>
      <c r="B88" s="28" t="s">
        <v>816</v>
      </c>
      <c r="C88" s="28" t="s">
        <v>817</v>
      </c>
      <c r="D88" s="28" t="s">
        <v>814</v>
      </c>
      <c r="E88" s="28" t="s">
        <v>808</v>
      </c>
      <c r="F88" s="28" t="s">
        <v>810</v>
      </c>
      <c r="G88" s="28" t="s">
        <v>818</v>
      </c>
    </row>
    <row r="89" ht="15.75" customHeight="1">
      <c r="A89" s="67">
        <v>47206.0</v>
      </c>
      <c r="B89" s="28" t="s">
        <v>819</v>
      </c>
      <c r="C89" s="28" t="s">
        <v>813</v>
      </c>
      <c r="D89" s="28" t="s">
        <v>809</v>
      </c>
      <c r="E89" s="28" t="s">
        <v>813</v>
      </c>
      <c r="F89" s="28" t="s">
        <v>699</v>
      </c>
      <c r="G89" s="28" t="s">
        <v>820</v>
      </c>
    </row>
    <row r="90" ht="15.75" customHeight="1">
      <c r="A90" s="67">
        <v>47207.0</v>
      </c>
      <c r="B90" s="28" t="s">
        <v>821</v>
      </c>
      <c r="C90" s="28" t="s">
        <v>808</v>
      </c>
      <c r="D90" s="28" t="s">
        <v>809</v>
      </c>
      <c r="E90" s="28" t="s">
        <v>808</v>
      </c>
      <c r="F90" s="28" t="s">
        <v>810</v>
      </c>
      <c r="G90" s="28" t="s">
        <v>822</v>
      </c>
    </row>
    <row r="91" ht="15.75" customHeight="1">
      <c r="A91" s="67">
        <v>47228.0</v>
      </c>
      <c r="B91" s="28" t="s">
        <v>823</v>
      </c>
      <c r="C91" s="28" t="s">
        <v>813</v>
      </c>
      <c r="D91" s="28" t="s">
        <v>809</v>
      </c>
      <c r="E91" s="28" t="s">
        <v>813</v>
      </c>
      <c r="F91" s="28" t="s">
        <v>699</v>
      </c>
      <c r="G91" s="28" t="s">
        <v>824</v>
      </c>
    </row>
    <row r="92" ht="15.75" customHeight="1">
      <c r="A92" s="67">
        <v>47229.0</v>
      </c>
      <c r="B92" s="28" t="s">
        <v>825</v>
      </c>
      <c r="C92" s="28" t="s">
        <v>808</v>
      </c>
      <c r="D92" s="28" t="s">
        <v>809</v>
      </c>
      <c r="E92" s="28" t="s">
        <v>808</v>
      </c>
      <c r="F92" s="28" t="s">
        <v>810</v>
      </c>
      <c r="G92" s="28" t="s">
        <v>811</v>
      </c>
    </row>
    <row r="93" ht="15.75" customHeight="1">
      <c r="A93" s="67">
        <v>47238.0</v>
      </c>
      <c r="B93" s="28" t="s">
        <v>826</v>
      </c>
      <c r="C93" s="28" t="s">
        <v>813</v>
      </c>
      <c r="D93" s="28" t="s">
        <v>809</v>
      </c>
      <c r="E93" s="28" t="s">
        <v>813</v>
      </c>
      <c r="F93" s="28" t="s">
        <v>699</v>
      </c>
      <c r="G93" s="28" t="s">
        <v>827</v>
      </c>
    </row>
    <row r="94" ht="15.75" customHeight="1">
      <c r="A94" s="67">
        <v>47239.0</v>
      </c>
      <c r="B94" s="28" t="s">
        <v>828</v>
      </c>
      <c r="C94" s="28" t="s">
        <v>808</v>
      </c>
      <c r="D94" s="28" t="s">
        <v>809</v>
      </c>
      <c r="E94" s="28" t="s">
        <v>808</v>
      </c>
      <c r="F94" s="28" t="s">
        <v>810</v>
      </c>
      <c r="G94" s="28" t="s">
        <v>811</v>
      </c>
    </row>
    <row r="95" ht="15.75" customHeight="1">
      <c r="A95" s="67">
        <v>47268.0</v>
      </c>
      <c r="B95" s="28" t="s">
        <v>829</v>
      </c>
      <c r="C95" s="28" t="s">
        <v>813</v>
      </c>
      <c r="D95" s="28" t="s">
        <v>830</v>
      </c>
      <c r="E95" s="28" t="s">
        <v>813</v>
      </c>
      <c r="F95" s="28" t="s">
        <v>699</v>
      </c>
      <c r="G95" s="28" t="s">
        <v>831</v>
      </c>
    </row>
    <row r="96" ht="15.75" customHeight="1">
      <c r="A96" s="67">
        <v>47269.0</v>
      </c>
      <c r="B96" s="28" t="s">
        <v>832</v>
      </c>
      <c r="C96" s="28" t="s">
        <v>817</v>
      </c>
      <c r="D96" s="28" t="s">
        <v>830</v>
      </c>
      <c r="E96" s="28" t="s">
        <v>808</v>
      </c>
      <c r="F96" s="28" t="s">
        <v>810</v>
      </c>
      <c r="G96" s="28" t="s">
        <v>833</v>
      </c>
    </row>
    <row r="97" ht="15.75" customHeight="1">
      <c r="A97" s="67">
        <v>47307.0</v>
      </c>
      <c r="B97" s="28" t="s">
        <v>834</v>
      </c>
      <c r="C97" s="28" t="s">
        <v>813</v>
      </c>
      <c r="D97" s="28" t="s">
        <v>835</v>
      </c>
      <c r="E97" s="28" t="s">
        <v>813</v>
      </c>
      <c r="F97" s="28" t="s">
        <v>699</v>
      </c>
      <c r="G97" s="28" t="s">
        <v>836</v>
      </c>
    </row>
    <row r="98" ht="15.75" customHeight="1">
      <c r="A98" s="67">
        <v>47308.0</v>
      </c>
      <c r="B98" s="28" t="s">
        <v>837</v>
      </c>
      <c r="C98" s="28" t="s">
        <v>808</v>
      </c>
      <c r="D98" s="28" t="s">
        <v>835</v>
      </c>
      <c r="E98" s="28" t="s">
        <v>808</v>
      </c>
      <c r="F98" s="28" t="s">
        <v>810</v>
      </c>
      <c r="G98" s="28" t="s">
        <v>838</v>
      </c>
    </row>
    <row r="99" ht="15.75" customHeight="1">
      <c r="A99" s="67">
        <v>47367.0</v>
      </c>
      <c r="B99" s="28" t="s">
        <v>839</v>
      </c>
      <c r="C99" s="28" t="s">
        <v>813</v>
      </c>
      <c r="D99" s="28" t="s">
        <v>809</v>
      </c>
      <c r="E99" s="28" t="s">
        <v>813</v>
      </c>
      <c r="F99" s="28" t="s">
        <v>699</v>
      </c>
      <c r="G99" s="28" t="s">
        <v>840</v>
      </c>
    </row>
    <row r="100" ht="15.75" customHeight="1">
      <c r="A100" s="67">
        <v>47368.0</v>
      </c>
      <c r="B100" s="28" t="s">
        <v>841</v>
      </c>
      <c r="C100" s="28" t="s">
        <v>808</v>
      </c>
      <c r="D100" s="28" t="s">
        <v>809</v>
      </c>
      <c r="E100" s="28" t="s">
        <v>808</v>
      </c>
      <c r="F100" s="28" t="s">
        <v>810</v>
      </c>
      <c r="G100" s="28" t="s">
        <v>811</v>
      </c>
    </row>
    <row r="101" ht="15.75" customHeight="1">
      <c r="A101" s="68">
        <v>47402.0</v>
      </c>
      <c r="B101" s="28" t="s">
        <v>842</v>
      </c>
      <c r="C101" s="28" t="s">
        <v>813</v>
      </c>
      <c r="D101" s="28" t="s">
        <v>809</v>
      </c>
      <c r="E101" s="28" t="s">
        <v>813</v>
      </c>
      <c r="F101" s="28" t="s">
        <v>699</v>
      </c>
      <c r="G101" s="28" t="s">
        <v>843</v>
      </c>
    </row>
    <row r="102" ht="15.75" customHeight="1">
      <c r="A102" s="68">
        <v>47403.0</v>
      </c>
      <c r="B102" s="28" t="s">
        <v>844</v>
      </c>
      <c r="C102" s="28" t="s">
        <v>808</v>
      </c>
      <c r="D102" s="28" t="s">
        <v>809</v>
      </c>
      <c r="E102" s="28" t="s">
        <v>808</v>
      </c>
      <c r="F102" s="28" t="s">
        <v>810</v>
      </c>
      <c r="G102" s="28" t="s">
        <v>811</v>
      </c>
    </row>
    <row r="103" ht="15.75" customHeight="1">
      <c r="A103" s="67">
        <v>47423.0</v>
      </c>
      <c r="B103" s="28" t="s">
        <v>845</v>
      </c>
      <c r="C103" s="28" t="s">
        <v>813</v>
      </c>
      <c r="D103" s="28" t="s">
        <v>809</v>
      </c>
      <c r="E103" s="28" t="s">
        <v>813</v>
      </c>
      <c r="F103" s="28" t="s">
        <v>699</v>
      </c>
      <c r="G103" s="28" t="s">
        <v>846</v>
      </c>
    </row>
    <row r="104" ht="15.75" customHeight="1">
      <c r="A104" s="67">
        <v>47424.0</v>
      </c>
      <c r="B104" s="28" t="s">
        <v>847</v>
      </c>
      <c r="C104" s="28" t="s">
        <v>808</v>
      </c>
      <c r="D104" s="28" t="s">
        <v>809</v>
      </c>
      <c r="E104" s="28" t="s">
        <v>808</v>
      </c>
      <c r="F104" s="28" t="s">
        <v>810</v>
      </c>
      <c r="G104" s="28" t="s">
        <v>811</v>
      </c>
    </row>
    <row r="105" ht="15.75" customHeight="1">
      <c r="A105" s="68">
        <v>47436.0</v>
      </c>
      <c r="B105" s="28" t="s">
        <v>848</v>
      </c>
      <c r="C105" s="28" t="s">
        <v>813</v>
      </c>
      <c r="D105" s="28" t="s">
        <v>809</v>
      </c>
      <c r="E105" s="28" t="s">
        <v>813</v>
      </c>
      <c r="F105" s="28" t="s">
        <v>699</v>
      </c>
      <c r="G105" s="28" t="s">
        <v>849</v>
      </c>
    </row>
    <row r="106" ht="15.75" customHeight="1">
      <c r="A106" s="68">
        <v>47437.0</v>
      </c>
      <c r="B106" s="28" t="s">
        <v>850</v>
      </c>
      <c r="C106" s="28" t="s">
        <v>808</v>
      </c>
      <c r="D106" s="28" t="s">
        <v>809</v>
      </c>
      <c r="E106" s="28" t="s">
        <v>808</v>
      </c>
      <c r="F106" s="28" t="s">
        <v>810</v>
      </c>
      <c r="G106" s="28" t="s">
        <v>811</v>
      </c>
    </row>
    <row r="107" ht="15.75" customHeight="1">
      <c r="A107" s="68">
        <v>47441.0</v>
      </c>
      <c r="B107" s="28" t="s">
        <v>851</v>
      </c>
      <c r="C107" s="28" t="s">
        <v>813</v>
      </c>
      <c r="D107" s="28" t="s">
        <v>809</v>
      </c>
      <c r="E107" s="28" t="s">
        <v>813</v>
      </c>
      <c r="F107" s="28" t="s">
        <v>699</v>
      </c>
      <c r="G107" s="28" t="s">
        <v>852</v>
      </c>
    </row>
    <row r="108" ht="15.75" customHeight="1">
      <c r="A108" s="68">
        <v>47442.0</v>
      </c>
      <c r="B108" s="28" t="s">
        <v>853</v>
      </c>
      <c r="C108" s="28" t="s">
        <v>808</v>
      </c>
      <c r="D108" s="28" t="s">
        <v>809</v>
      </c>
      <c r="E108" s="28" t="s">
        <v>808</v>
      </c>
      <c r="F108" s="28" t="s">
        <v>810</v>
      </c>
      <c r="G108" s="28" t="s">
        <v>811</v>
      </c>
    </row>
    <row r="109" ht="15.75" customHeight="1">
      <c r="A109" s="67">
        <v>47459.0</v>
      </c>
      <c r="B109" s="28" t="s">
        <v>854</v>
      </c>
      <c r="C109" s="28" t="s">
        <v>813</v>
      </c>
      <c r="D109" s="28" t="s">
        <v>855</v>
      </c>
      <c r="E109" s="28" t="s">
        <v>813</v>
      </c>
      <c r="F109" s="28" t="s">
        <v>699</v>
      </c>
      <c r="G109" s="28" t="s">
        <v>856</v>
      </c>
    </row>
    <row r="110" ht="15.75" customHeight="1">
      <c r="A110" s="67">
        <v>47460.0</v>
      </c>
      <c r="B110" s="28" t="s">
        <v>857</v>
      </c>
      <c r="C110" s="28" t="s">
        <v>808</v>
      </c>
      <c r="D110" s="28" t="s">
        <v>855</v>
      </c>
      <c r="E110" s="28" t="s">
        <v>808</v>
      </c>
      <c r="F110" s="28" t="s">
        <v>810</v>
      </c>
      <c r="G110" s="28" t="s">
        <v>858</v>
      </c>
    </row>
    <row r="111" ht="15.75" customHeight="1">
      <c r="A111" s="68">
        <v>47476.0</v>
      </c>
      <c r="B111" s="28" t="s">
        <v>859</v>
      </c>
      <c r="C111" s="28" t="s">
        <v>813</v>
      </c>
      <c r="D111" s="28" t="s">
        <v>809</v>
      </c>
      <c r="E111" s="28" t="s">
        <v>813</v>
      </c>
      <c r="F111" s="28" t="s">
        <v>699</v>
      </c>
      <c r="G111" s="28" t="s">
        <v>860</v>
      </c>
    </row>
    <row r="112" ht="15.75" customHeight="1">
      <c r="A112" s="68">
        <v>47477.0</v>
      </c>
      <c r="B112" s="28" t="s">
        <v>861</v>
      </c>
      <c r="C112" s="28" t="s">
        <v>808</v>
      </c>
      <c r="D112" s="28" t="s">
        <v>809</v>
      </c>
      <c r="E112" s="28" t="s">
        <v>808</v>
      </c>
      <c r="F112" s="28" t="s">
        <v>810</v>
      </c>
      <c r="G112" s="28" t="s">
        <v>811</v>
      </c>
    </row>
    <row r="113" ht="15.75" customHeight="1">
      <c r="A113" s="68">
        <v>47483.0</v>
      </c>
      <c r="B113" s="28" t="s">
        <v>862</v>
      </c>
      <c r="C113" s="28" t="s">
        <v>813</v>
      </c>
      <c r="D113" s="28" t="s">
        <v>809</v>
      </c>
      <c r="E113" s="28" t="s">
        <v>813</v>
      </c>
      <c r="F113" s="28" t="s">
        <v>699</v>
      </c>
      <c r="G113" s="28" t="s">
        <v>864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4" width="18.0"/>
    <col customWidth="1" min="5" max="5" width="28.0"/>
    <col customWidth="1" min="6" max="6" width="55.0"/>
    <col customWidth="1" min="7" max="7" width="14.0"/>
  </cols>
  <sheetData>
    <row r="1">
      <c r="A1" s="69" t="s">
        <v>865</v>
      </c>
      <c r="B1" s="69" t="s">
        <v>866</v>
      </c>
      <c r="C1" s="69" t="s">
        <v>342</v>
      </c>
      <c r="D1" s="69" t="s">
        <v>3</v>
      </c>
      <c r="E1" s="69" t="s">
        <v>326</v>
      </c>
      <c r="F1" s="69" t="s">
        <v>8</v>
      </c>
      <c r="G1" s="69" t="s">
        <v>328</v>
      </c>
    </row>
    <row r="2">
      <c r="A2" s="3" t="s">
        <v>379</v>
      </c>
      <c r="B2" s="3" t="s">
        <v>379</v>
      </c>
      <c r="C2" s="3" t="s">
        <v>404</v>
      </c>
      <c r="D2" s="3" t="s">
        <v>867</v>
      </c>
      <c r="E2" s="3" t="s">
        <v>436</v>
      </c>
      <c r="F2" s="3" t="s">
        <v>396</v>
      </c>
      <c r="G2" s="3" t="s">
        <v>389</v>
      </c>
    </row>
    <row r="3">
      <c r="A3" s="3" t="s">
        <v>12</v>
      </c>
      <c r="B3" s="3" t="s">
        <v>12</v>
      </c>
      <c r="C3" s="3" t="s">
        <v>404</v>
      </c>
      <c r="D3" s="3" t="s">
        <v>867</v>
      </c>
      <c r="E3" s="3" t="s">
        <v>436</v>
      </c>
      <c r="F3" s="3" t="s">
        <v>17</v>
      </c>
      <c r="G3" s="3" t="s">
        <v>389</v>
      </c>
    </row>
    <row r="4">
      <c r="A4" s="3" t="s">
        <v>401</v>
      </c>
      <c r="B4" s="3" t="s">
        <v>401</v>
      </c>
      <c r="C4" s="3" t="s">
        <v>441</v>
      </c>
      <c r="D4" s="3" t="s">
        <v>867</v>
      </c>
      <c r="E4" s="3" t="s">
        <v>712</v>
      </c>
      <c r="F4" s="3" t="s">
        <v>397</v>
      </c>
      <c r="G4" s="3" t="s">
        <v>389</v>
      </c>
    </row>
    <row r="5">
      <c r="A5" s="3" t="s">
        <v>24</v>
      </c>
      <c r="B5" s="3" t="s">
        <v>24</v>
      </c>
      <c r="C5" s="3" t="s">
        <v>441</v>
      </c>
      <c r="D5" s="3" t="s">
        <v>867</v>
      </c>
      <c r="E5" s="3" t="s">
        <v>443</v>
      </c>
      <c r="F5" s="3" t="s">
        <v>27</v>
      </c>
      <c r="G5" s="3" t="s">
        <v>389</v>
      </c>
    </row>
    <row r="6">
      <c r="A6" s="3" t="s">
        <v>33</v>
      </c>
      <c r="B6" s="3" t="s">
        <v>33</v>
      </c>
      <c r="C6" s="3" t="s">
        <v>441</v>
      </c>
      <c r="D6" s="3" t="s">
        <v>867</v>
      </c>
      <c r="E6" s="3" t="s">
        <v>454</v>
      </c>
      <c r="F6" s="3" t="s">
        <v>34</v>
      </c>
      <c r="G6" s="3" t="s">
        <v>389</v>
      </c>
    </row>
    <row r="7">
      <c r="A7" s="3" t="s">
        <v>415</v>
      </c>
      <c r="B7" s="3" t="s">
        <v>415</v>
      </c>
      <c r="C7" s="3" t="s">
        <v>723</v>
      </c>
      <c r="D7" s="3" t="s">
        <v>868</v>
      </c>
      <c r="E7" s="3" t="s">
        <v>382</v>
      </c>
      <c r="F7" s="3" t="s">
        <v>424</v>
      </c>
      <c r="G7" s="3" t="s">
        <v>389</v>
      </c>
    </row>
    <row r="8">
      <c r="A8" s="3" t="s">
        <v>63</v>
      </c>
      <c r="B8" s="3" t="s">
        <v>41</v>
      </c>
      <c r="C8" s="3">
        <v>5.0</v>
      </c>
      <c r="D8" s="3" t="s">
        <v>869</v>
      </c>
      <c r="E8" s="3" t="s">
        <v>463</v>
      </c>
      <c r="F8" s="3" t="s">
        <v>44</v>
      </c>
      <c r="G8" s="3" t="s">
        <v>389</v>
      </c>
    </row>
    <row r="9">
      <c r="A9" s="3" t="s">
        <v>70</v>
      </c>
      <c r="B9" s="3" t="s">
        <v>50</v>
      </c>
      <c r="C9" s="3">
        <v>5.0</v>
      </c>
      <c r="D9" s="3" t="s">
        <v>869</v>
      </c>
      <c r="E9" s="3" t="s">
        <v>463</v>
      </c>
      <c r="F9" s="3" t="s">
        <v>51</v>
      </c>
      <c r="G9" s="3" t="s">
        <v>389</v>
      </c>
    </row>
    <row r="10">
      <c r="A10" s="3" t="s">
        <v>77</v>
      </c>
      <c r="B10" s="3" t="s">
        <v>57</v>
      </c>
      <c r="C10" s="3">
        <v>5.0</v>
      </c>
      <c r="D10" s="3" t="s">
        <v>869</v>
      </c>
      <c r="E10" s="3" t="s">
        <v>463</v>
      </c>
      <c r="F10" s="3" t="s">
        <v>58</v>
      </c>
      <c r="G10" s="3" t="s">
        <v>389</v>
      </c>
    </row>
    <row r="11">
      <c r="A11" s="3" t="s">
        <v>84</v>
      </c>
      <c r="B11" s="3" t="s">
        <v>63</v>
      </c>
      <c r="C11" s="3">
        <v>5.0</v>
      </c>
      <c r="D11" s="3" t="s">
        <v>869</v>
      </c>
      <c r="E11" s="3" t="s">
        <v>463</v>
      </c>
      <c r="F11" s="3" t="s">
        <v>64</v>
      </c>
      <c r="G11" s="3" t="s">
        <v>389</v>
      </c>
    </row>
    <row r="12">
      <c r="A12" s="3" t="s">
        <v>90</v>
      </c>
      <c r="B12" s="3" t="s">
        <v>70</v>
      </c>
      <c r="C12" s="3">
        <v>6.0</v>
      </c>
      <c r="D12" s="3" t="s">
        <v>870</v>
      </c>
      <c r="E12" s="3" t="s">
        <v>480</v>
      </c>
      <c r="F12" s="3" t="s">
        <v>71</v>
      </c>
      <c r="G12" s="3" t="s">
        <v>389</v>
      </c>
    </row>
    <row r="13">
      <c r="A13" s="3" t="s">
        <v>96</v>
      </c>
      <c r="B13" s="3" t="s">
        <v>77</v>
      </c>
      <c r="C13" s="3">
        <v>6.0</v>
      </c>
      <c r="D13" s="3" t="s">
        <v>870</v>
      </c>
      <c r="E13" s="3" t="s">
        <v>480</v>
      </c>
      <c r="F13" s="3" t="s">
        <v>78</v>
      </c>
      <c r="G13" s="3" t="s">
        <v>389</v>
      </c>
    </row>
    <row r="14">
      <c r="A14" s="3" t="s">
        <v>102</v>
      </c>
      <c r="B14" s="3" t="s">
        <v>84</v>
      </c>
      <c r="C14" s="3">
        <v>7.0</v>
      </c>
      <c r="D14" s="3" t="s">
        <v>871</v>
      </c>
      <c r="E14" s="3" t="s">
        <v>488</v>
      </c>
      <c r="F14" s="3" t="s">
        <v>85</v>
      </c>
      <c r="G14" s="3" t="s">
        <v>389</v>
      </c>
    </row>
    <row r="15">
      <c r="A15" s="3" t="s">
        <v>109</v>
      </c>
      <c r="B15" s="3" t="s">
        <v>90</v>
      </c>
      <c r="C15" s="3">
        <v>7.0</v>
      </c>
      <c r="D15" s="3" t="s">
        <v>871</v>
      </c>
      <c r="E15" s="3" t="s">
        <v>488</v>
      </c>
      <c r="F15" s="3" t="s">
        <v>91</v>
      </c>
      <c r="G15" s="3" t="s">
        <v>389</v>
      </c>
    </row>
    <row r="16">
      <c r="A16" s="3" t="s">
        <v>116</v>
      </c>
      <c r="B16" s="3" t="s">
        <v>96</v>
      </c>
      <c r="C16" s="3">
        <v>7.0</v>
      </c>
      <c r="D16" s="3" t="s">
        <v>871</v>
      </c>
      <c r="E16" s="3" t="s">
        <v>488</v>
      </c>
      <c r="F16" s="3" t="s">
        <v>97</v>
      </c>
      <c r="G16" s="3" t="s">
        <v>389</v>
      </c>
    </row>
    <row r="17">
      <c r="A17" s="3" t="s">
        <v>121</v>
      </c>
      <c r="B17" s="3" t="s">
        <v>102</v>
      </c>
      <c r="C17" s="3">
        <v>8.0</v>
      </c>
      <c r="D17" s="3" t="s">
        <v>872</v>
      </c>
      <c r="E17" s="3" t="s">
        <v>495</v>
      </c>
      <c r="F17" s="3" t="s">
        <v>103</v>
      </c>
      <c r="G17" s="3" t="s">
        <v>389</v>
      </c>
    </row>
    <row r="18">
      <c r="A18" s="3" t="s">
        <v>126</v>
      </c>
      <c r="B18" s="3" t="s">
        <v>109</v>
      </c>
      <c r="C18" s="3">
        <v>8.0</v>
      </c>
      <c r="D18" s="3" t="s">
        <v>872</v>
      </c>
      <c r="E18" s="3" t="s">
        <v>495</v>
      </c>
      <c r="F18" s="3" t="s">
        <v>110</v>
      </c>
      <c r="G18" s="3" t="s">
        <v>389</v>
      </c>
    </row>
    <row r="19">
      <c r="A19" s="3" t="s">
        <v>130</v>
      </c>
      <c r="B19" s="3" t="s">
        <v>116</v>
      </c>
      <c r="C19" s="3">
        <v>8.0</v>
      </c>
      <c r="D19" s="3" t="s">
        <v>872</v>
      </c>
      <c r="E19" s="3" t="s">
        <v>495</v>
      </c>
      <c r="F19" s="3" t="s">
        <v>117</v>
      </c>
      <c r="G19" s="3" t="s">
        <v>389</v>
      </c>
    </row>
    <row r="20">
      <c r="A20" s="3" t="s">
        <v>135</v>
      </c>
      <c r="B20" s="3" t="s">
        <v>121</v>
      </c>
      <c r="C20" s="3">
        <v>8.0</v>
      </c>
      <c r="D20" s="3" t="s">
        <v>872</v>
      </c>
      <c r="E20" s="3" t="s">
        <v>495</v>
      </c>
      <c r="F20" s="3" t="s">
        <v>122</v>
      </c>
      <c r="G20" s="3" t="s">
        <v>389</v>
      </c>
    </row>
    <row r="21" ht="15.75" customHeight="1">
      <c r="A21" s="3" t="s">
        <v>497</v>
      </c>
      <c r="B21" s="3" t="s">
        <v>126</v>
      </c>
      <c r="C21" s="3">
        <v>8.0</v>
      </c>
      <c r="D21" s="3" t="s">
        <v>872</v>
      </c>
      <c r="E21" s="3" t="s">
        <v>495</v>
      </c>
      <c r="F21" s="3" t="s">
        <v>127</v>
      </c>
      <c r="G21" s="3" t="s">
        <v>389</v>
      </c>
    </row>
    <row r="22" ht="15.75" customHeight="1">
      <c r="A22" s="3" t="s">
        <v>140</v>
      </c>
      <c r="B22" s="3" t="s">
        <v>130</v>
      </c>
      <c r="C22" s="3">
        <v>9.0</v>
      </c>
      <c r="D22" s="3" t="s">
        <v>873</v>
      </c>
      <c r="E22" s="3" t="s">
        <v>573</v>
      </c>
      <c r="F22" s="3" t="s">
        <v>131</v>
      </c>
      <c r="G22" s="3" t="s">
        <v>389</v>
      </c>
    </row>
    <row r="23" ht="15.75" customHeight="1">
      <c r="A23" s="3" t="s">
        <v>145</v>
      </c>
      <c r="B23" s="3" t="s">
        <v>135</v>
      </c>
      <c r="C23" s="3">
        <v>9.0</v>
      </c>
      <c r="D23" s="3" t="s">
        <v>873</v>
      </c>
      <c r="E23" s="3" t="s">
        <v>573</v>
      </c>
      <c r="F23" s="3" t="s">
        <v>136</v>
      </c>
      <c r="G23" s="3" t="s">
        <v>389</v>
      </c>
    </row>
    <row r="24" ht="15.75" customHeight="1">
      <c r="A24" s="3" t="s">
        <v>149</v>
      </c>
      <c r="B24" s="3" t="s">
        <v>497</v>
      </c>
      <c r="C24" s="3">
        <v>9.0</v>
      </c>
      <c r="D24" s="3" t="s">
        <v>873</v>
      </c>
      <c r="E24" s="3" t="s">
        <v>573</v>
      </c>
      <c r="F24" s="3" t="s">
        <v>428</v>
      </c>
      <c r="G24" s="3" t="s">
        <v>389</v>
      </c>
    </row>
    <row r="25" ht="15.75" customHeight="1">
      <c r="A25" s="3" t="s">
        <v>153</v>
      </c>
      <c r="B25" s="3" t="s">
        <v>140</v>
      </c>
      <c r="C25" s="3">
        <v>9.0</v>
      </c>
      <c r="D25" s="3" t="s">
        <v>873</v>
      </c>
      <c r="E25" s="3" t="s">
        <v>572</v>
      </c>
      <c r="F25" s="3" t="s">
        <v>141</v>
      </c>
      <c r="G25" s="3" t="s">
        <v>389</v>
      </c>
    </row>
    <row r="26" ht="15.75" customHeight="1">
      <c r="A26" s="3" t="s">
        <v>167</v>
      </c>
      <c r="B26" s="3" t="s">
        <v>145</v>
      </c>
      <c r="C26" s="3">
        <v>9.0</v>
      </c>
      <c r="D26" s="3" t="s">
        <v>873</v>
      </c>
      <c r="E26" s="3" t="s">
        <v>572</v>
      </c>
      <c r="F26" s="3" t="s">
        <v>146</v>
      </c>
      <c r="G26" s="3" t="s">
        <v>389</v>
      </c>
    </row>
    <row r="27" ht="15.75" customHeight="1">
      <c r="A27" s="3" t="s">
        <v>41</v>
      </c>
      <c r="B27" s="3" t="s">
        <v>149</v>
      </c>
      <c r="C27" s="3">
        <v>10.0</v>
      </c>
      <c r="D27" s="3" t="s">
        <v>874</v>
      </c>
      <c r="E27" s="3" t="s">
        <v>506</v>
      </c>
      <c r="F27" s="3" t="s">
        <v>151</v>
      </c>
      <c r="G27" s="3" t="s">
        <v>389</v>
      </c>
    </row>
    <row r="28" ht="15.75" customHeight="1">
      <c r="A28" s="3" t="s">
        <v>50</v>
      </c>
      <c r="B28" s="3" t="s">
        <v>153</v>
      </c>
      <c r="C28" s="3">
        <v>10.0</v>
      </c>
      <c r="D28" s="3" t="s">
        <v>874</v>
      </c>
      <c r="E28" s="3" t="s">
        <v>503</v>
      </c>
      <c r="F28" s="3" t="s">
        <v>154</v>
      </c>
      <c r="G28" s="3" t="s">
        <v>389</v>
      </c>
    </row>
    <row r="29" ht="15.75" customHeight="1">
      <c r="A29" s="3" t="s">
        <v>57</v>
      </c>
      <c r="B29" s="3" t="s">
        <v>167</v>
      </c>
      <c r="C29" s="3">
        <v>10.0</v>
      </c>
      <c r="D29" s="3" t="s">
        <v>874</v>
      </c>
      <c r="E29" s="3" t="s">
        <v>508</v>
      </c>
      <c r="F29" s="3" t="s">
        <v>168</v>
      </c>
      <c r="G29" s="3" t="s">
        <v>389</v>
      </c>
    </row>
    <row r="30" ht="15.75" customHeight="1">
      <c r="A30" s="3" t="s">
        <v>170</v>
      </c>
      <c r="B30" s="3" t="s">
        <v>170</v>
      </c>
      <c r="C30" s="3">
        <v>10.0</v>
      </c>
      <c r="D30" s="3" t="s">
        <v>874</v>
      </c>
      <c r="E30" s="3" t="s">
        <v>583</v>
      </c>
      <c r="F30" s="3" t="s">
        <v>171</v>
      </c>
      <c r="G30" s="3" t="s">
        <v>389</v>
      </c>
    </row>
    <row r="31" ht="15.75" customHeight="1">
      <c r="A31" s="3" t="s">
        <v>216</v>
      </c>
      <c r="B31" s="3" t="s">
        <v>173</v>
      </c>
      <c r="C31" s="3">
        <v>10.0</v>
      </c>
      <c r="D31" s="3" t="s">
        <v>874</v>
      </c>
      <c r="E31" s="3" t="s">
        <v>587</v>
      </c>
      <c r="F31" s="3" t="s">
        <v>175</v>
      </c>
      <c r="G31" s="3" t="s">
        <v>389</v>
      </c>
    </row>
    <row r="32" ht="15.75" customHeight="1">
      <c r="A32" s="3" t="s">
        <v>580</v>
      </c>
      <c r="B32" s="3" t="s">
        <v>177</v>
      </c>
      <c r="C32" s="3">
        <v>10.0</v>
      </c>
      <c r="D32" s="3" t="s">
        <v>874</v>
      </c>
      <c r="E32" s="3" t="s">
        <v>587</v>
      </c>
      <c r="F32" s="3" t="s">
        <v>178</v>
      </c>
      <c r="G32" s="3" t="s">
        <v>389</v>
      </c>
    </row>
    <row r="33" ht="15.75" customHeight="1">
      <c r="A33" s="3" t="s">
        <v>219</v>
      </c>
      <c r="B33" s="3" t="s">
        <v>180</v>
      </c>
      <c r="C33" s="3">
        <v>10.0</v>
      </c>
      <c r="D33" s="3" t="s">
        <v>874</v>
      </c>
      <c r="E33" s="3" t="s">
        <v>587</v>
      </c>
      <c r="F33" s="3" t="s">
        <v>181</v>
      </c>
      <c r="G33" s="3" t="s">
        <v>389</v>
      </c>
    </row>
    <row r="34" ht="15.75" customHeight="1">
      <c r="A34" s="3" t="s">
        <v>222</v>
      </c>
      <c r="B34" s="3" t="s">
        <v>183</v>
      </c>
      <c r="C34" s="3">
        <v>10.0</v>
      </c>
      <c r="D34" s="3" t="s">
        <v>874</v>
      </c>
      <c r="E34" s="3" t="s">
        <v>587</v>
      </c>
      <c r="F34" s="3" t="s">
        <v>184</v>
      </c>
      <c r="G34" s="3" t="s">
        <v>389</v>
      </c>
    </row>
    <row r="35" ht="15.75" customHeight="1">
      <c r="A35" s="3" t="s">
        <v>173</v>
      </c>
      <c r="B35" s="3" t="s">
        <v>186</v>
      </c>
      <c r="C35" s="3">
        <v>11.0</v>
      </c>
      <c r="D35" s="3" t="s">
        <v>875</v>
      </c>
      <c r="E35" s="3" t="s">
        <v>512</v>
      </c>
      <c r="F35" s="3" t="s">
        <v>188</v>
      </c>
      <c r="G35" s="3" t="s">
        <v>389</v>
      </c>
    </row>
    <row r="36" ht="15.75" customHeight="1">
      <c r="A36" s="3" t="s">
        <v>177</v>
      </c>
      <c r="B36" s="3" t="s">
        <v>190</v>
      </c>
      <c r="C36" s="3">
        <v>11.0</v>
      </c>
      <c r="D36" s="3" t="s">
        <v>875</v>
      </c>
      <c r="E36" s="3" t="s">
        <v>523</v>
      </c>
      <c r="F36" s="3" t="s">
        <v>191</v>
      </c>
      <c r="G36" s="3" t="s">
        <v>389</v>
      </c>
    </row>
    <row r="37" ht="15.75" customHeight="1">
      <c r="A37" s="3" t="s">
        <v>180</v>
      </c>
      <c r="B37" s="3" t="s">
        <v>193</v>
      </c>
      <c r="C37" s="3">
        <v>11.0</v>
      </c>
      <c r="D37" s="3" t="s">
        <v>875</v>
      </c>
      <c r="E37" s="3" t="s">
        <v>529</v>
      </c>
      <c r="F37" s="3" t="s">
        <v>194</v>
      </c>
      <c r="G37" s="3" t="s">
        <v>389</v>
      </c>
    </row>
    <row r="38" ht="15.75" customHeight="1">
      <c r="A38" s="3" t="s">
        <v>183</v>
      </c>
      <c r="B38" s="3" t="s">
        <v>196</v>
      </c>
      <c r="C38" s="3">
        <v>11.0</v>
      </c>
      <c r="D38" s="3" t="s">
        <v>875</v>
      </c>
      <c r="E38" s="3" t="s">
        <v>542</v>
      </c>
      <c r="F38" s="3" t="s">
        <v>198</v>
      </c>
      <c r="G38" s="3" t="s">
        <v>389</v>
      </c>
    </row>
    <row r="39" ht="15.75" customHeight="1">
      <c r="A39" s="3" t="s">
        <v>186</v>
      </c>
      <c r="B39" s="3" t="s">
        <v>200</v>
      </c>
      <c r="C39" s="3">
        <v>11.0</v>
      </c>
      <c r="D39" s="3" t="s">
        <v>875</v>
      </c>
      <c r="E39" s="3" t="s">
        <v>535</v>
      </c>
      <c r="F39" s="3" t="s">
        <v>201</v>
      </c>
      <c r="G39" s="3" t="s">
        <v>389</v>
      </c>
    </row>
    <row r="40" ht="15.75" customHeight="1">
      <c r="A40" s="3" t="s">
        <v>190</v>
      </c>
      <c r="B40" s="3" t="s">
        <v>203</v>
      </c>
      <c r="C40" s="3">
        <v>11.0</v>
      </c>
      <c r="D40" s="3" t="s">
        <v>875</v>
      </c>
      <c r="E40" s="3" t="s">
        <v>548</v>
      </c>
      <c r="F40" s="3" t="s">
        <v>204</v>
      </c>
      <c r="G40" s="3" t="s">
        <v>389</v>
      </c>
    </row>
    <row r="41" ht="15.75" customHeight="1">
      <c r="A41" s="3" t="s">
        <v>193</v>
      </c>
      <c r="B41" s="3" t="s">
        <v>206</v>
      </c>
      <c r="C41" s="3">
        <v>11.0</v>
      </c>
      <c r="D41" s="3" t="s">
        <v>875</v>
      </c>
      <c r="E41" s="3" t="s">
        <v>554</v>
      </c>
      <c r="F41" s="3" t="s">
        <v>207</v>
      </c>
      <c r="G41" s="3" t="s">
        <v>389</v>
      </c>
    </row>
    <row r="42" ht="15.75" customHeight="1">
      <c r="A42" s="3" t="s">
        <v>196</v>
      </c>
      <c r="B42" s="3" t="s">
        <v>209</v>
      </c>
      <c r="C42" s="3">
        <v>12.0</v>
      </c>
      <c r="D42" s="3" t="s">
        <v>876</v>
      </c>
      <c r="E42" s="3" t="s">
        <v>555</v>
      </c>
      <c r="F42" s="3" t="s">
        <v>211</v>
      </c>
      <c r="G42" s="3" t="s">
        <v>389</v>
      </c>
    </row>
    <row r="43" ht="15.75" customHeight="1">
      <c r="A43" s="3" t="s">
        <v>200</v>
      </c>
      <c r="B43" s="3" t="s">
        <v>213</v>
      </c>
      <c r="C43" s="3">
        <v>12.0</v>
      </c>
      <c r="D43" s="3" t="s">
        <v>876</v>
      </c>
      <c r="E43" s="3" t="s">
        <v>558</v>
      </c>
      <c r="F43" s="3" t="s">
        <v>214</v>
      </c>
      <c r="G43" s="3" t="s">
        <v>389</v>
      </c>
    </row>
    <row r="44" ht="15.75" customHeight="1">
      <c r="A44" s="3" t="s">
        <v>203</v>
      </c>
      <c r="B44" s="3" t="s">
        <v>216</v>
      </c>
      <c r="C44" s="3">
        <v>12.0</v>
      </c>
      <c r="D44" s="3" t="s">
        <v>876</v>
      </c>
      <c r="E44" s="3" t="s">
        <v>563</v>
      </c>
      <c r="F44" s="3" t="s">
        <v>217</v>
      </c>
      <c r="G44" s="3" t="s">
        <v>389</v>
      </c>
    </row>
    <row r="45" ht="15.75" customHeight="1">
      <c r="A45" s="3" t="s">
        <v>206</v>
      </c>
      <c r="B45" s="3" t="s">
        <v>580</v>
      </c>
      <c r="C45" s="3">
        <v>12.0</v>
      </c>
      <c r="D45" s="3" t="s">
        <v>876</v>
      </c>
      <c r="E45" s="3" t="s">
        <v>564</v>
      </c>
      <c r="F45" s="3" t="s">
        <v>417</v>
      </c>
      <c r="G45" s="3" t="s">
        <v>389</v>
      </c>
    </row>
    <row r="46" ht="15.75" customHeight="1">
      <c r="A46" s="3" t="s">
        <v>209</v>
      </c>
      <c r="B46" s="3" t="s">
        <v>219</v>
      </c>
      <c r="C46" s="3">
        <v>12.0</v>
      </c>
      <c r="D46" s="3" t="s">
        <v>876</v>
      </c>
      <c r="E46" s="3" t="s">
        <v>564</v>
      </c>
      <c r="F46" s="3" t="s">
        <v>220</v>
      </c>
      <c r="G46" s="3" t="s">
        <v>389</v>
      </c>
    </row>
    <row r="47" ht="15.75" customHeight="1">
      <c r="A47" s="3" t="s">
        <v>213</v>
      </c>
      <c r="B47" s="3" t="s">
        <v>222</v>
      </c>
      <c r="C47" s="3">
        <v>12.0</v>
      </c>
      <c r="D47" s="3" t="s">
        <v>876</v>
      </c>
      <c r="E47" s="3" t="s">
        <v>564</v>
      </c>
      <c r="F47" s="3" t="s">
        <v>223</v>
      </c>
      <c r="G47" s="3" t="s">
        <v>389</v>
      </c>
    </row>
    <row r="48" ht="15.75" customHeight="1">
      <c r="A48" s="3" t="s">
        <v>225</v>
      </c>
      <c r="B48" s="3" t="s">
        <v>225</v>
      </c>
      <c r="C48" s="3">
        <v>13.0</v>
      </c>
      <c r="D48" s="3" t="s">
        <v>226</v>
      </c>
      <c r="E48" s="3" t="s">
        <v>588</v>
      </c>
      <c r="F48" s="3" t="s">
        <v>228</v>
      </c>
      <c r="G48" s="3" t="s">
        <v>389</v>
      </c>
    </row>
    <row r="49" ht="15.75" customHeight="1">
      <c r="A49" s="3" t="s">
        <v>230</v>
      </c>
      <c r="B49" s="3" t="s">
        <v>230</v>
      </c>
      <c r="C49" s="3">
        <v>13.0</v>
      </c>
      <c r="D49" s="3" t="s">
        <v>226</v>
      </c>
      <c r="E49" s="3" t="s">
        <v>593</v>
      </c>
      <c r="F49" s="3" t="s">
        <v>231</v>
      </c>
      <c r="G49" s="3" t="s">
        <v>389</v>
      </c>
    </row>
    <row r="50" ht="15.75" customHeight="1">
      <c r="A50" s="3" t="s">
        <v>233</v>
      </c>
      <c r="B50" s="3" t="s">
        <v>233</v>
      </c>
      <c r="C50" s="3">
        <v>13.0</v>
      </c>
      <c r="D50" s="3" t="s">
        <v>226</v>
      </c>
      <c r="E50" s="3" t="s">
        <v>596</v>
      </c>
      <c r="F50" s="3" t="s">
        <v>234</v>
      </c>
      <c r="G50" s="3" t="s">
        <v>389</v>
      </c>
    </row>
    <row r="51" ht="15.75" customHeight="1">
      <c r="A51" s="3" t="s">
        <v>236</v>
      </c>
      <c r="B51" s="3" t="s">
        <v>236</v>
      </c>
      <c r="C51" s="3">
        <v>13.0</v>
      </c>
      <c r="D51" s="3" t="s">
        <v>226</v>
      </c>
      <c r="E51" s="3" t="s">
        <v>604</v>
      </c>
      <c r="F51" s="3" t="s">
        <v>240</v>
      </c>
      <c r="G51" s="3" t="s">
        <v>389</v>
      </c>
    </row>
    <row r="52" ht="15.75" customHeight="1">
      <c r="A52" s="3" t="s">
        <v>242</v>
      </c>
      <c r="B52" s="3" t="s">
        <v>242</v>
      </c>
      <c r="C52" s="3">
        <v>13.0</v>
      </c>
      <c r="D52" s="3" t="s">
        <v>226</v>
      </c>
      <c r="E52" s="3" t="s">
        <v>614</v>
      </c>
      <c r="F52" s="3" t="s">
        <v>245</v>
      </c>
      <c r="G52" s="3" t="s">
        <v>389</v>
      </c>
    </row>
    <row r="53" ht="15.75" customHeight="1">
      <c r="A53" s="3" t="s">
        <v>595</v>
      </c>
      <c r="B53" s="3" t="s">
        <v>595</v>
      </c>
      <c r="C53" s="3">
        <v>13.0</v>
      </c>
      <c r="D53" s="3" t="s">
        <v>226</v>
      </c>
      <c r="E53" s="3" t="s">
        <v>716</v>
      </c>
      <c r="F53" s="3" t="s">
        <v>412</v>
      </c>
      <c r="G53" s="3" t="s">
        <v>389</v>
      </c>
    </row>
    <row r="54" ht="15.75" customHeight="1">
      <c r="A54" s="3" t="s">
        <v>603</v>
      </c>
      <c r="B54" s="3" t="s">
        <v>603</v>
      </c>
      <c r="C54" s="3">
        <v>14.0</v>
      </c>
      <c r="D54" s="3" t="s">
        <v>248</v>
      </c>
      <c r="E54" s="3" t="s">
        <v>618</v>
      </c>
      <c r="F54" s="3" t="s">
        <v>402</v>
      </c>
      <c r="G54" s="3" t="s">
        <v>389</v>
      </c>
    </row>
    <row r="55" ht="15.75" customHeight="1">
      <c r="A55" s="3" t="s">
        <v>247</v>
      </c>
      <c r="B55" s="3" t="s">
        <v>247</v>
      </c>
      <c r="C55" s="3">
        <v>14.0</v>
      </c>
      <c r="D55" s="3" t="s">
        <v>248</v>
      </c>
      <c r="E55" s="3" t="s">
        <v>618</v>
      </c>
      <c r="F55" s="3" t="s">
        <v>250</v>
      </c>
      <c r="G55" s="3" t="s">
        <v>389</v>
      </c>
    </row>
    <row r="56" ht="15.75" customHeight="1">
      <c r="A56" s="3" t="s">
        <v>253</v>
      </c>
      <c r="B56" s="3" t="s">
        <v>253</v>
      </c>
      <c r="C56" s="3">
        <v>14.0</v>
      </c>
      <c r="D56" s="3" t="s">
        <v>248</v>
      </c>
      <c r="E56" s="3" t="s">
        <v>618</v>
      </c>
      <c r="F56" s="3" t="s">
        <v>254</v>
      </c>
      <c r="G56" s="3" t="s">
        <v>389</v>
      </c>
    </row>
    <row r="57" ht="15.75" customHeight="1">
      <c r="A57" s="3" t="s">
        <v>260</v>
      </c>
      <c r="B57" s="3" t="s">
        <v>256</v>
      </c>
      <c r="C57" s="3">
        <v>14.0</v>
      </c>
      <c r="D57" s="3" t="s">
        <v>248</v>
      </c>
      <c r="E57" s="3" t="s">
        <v>627</v>
      </c>
      <c r="F57" s="3" t="s">
        <v>258</v>
      </c>
      <c r="G57" s="3" t="s">
        <v>389</v>
      </c>
    </row>
    <row r="58" ht="15.75" customHeight="1">
      <c r="A58" s="3" t="s">
        <v>263</v>
      </c>
      <c r="B58" s="3" t="s">
        <v>260</v>
      </c>
      <c r="C58" s="3">
        <v>14.0</v>
      </c>
      <c r="D58" s="3" t="s">
        <v>248</v>
      </c>
      <c r="E58" s="3" t="s">
        <v>627</v>
      </c>
      <c r="F58" s="3" t="s">
        <v>261</v>
      </c>
      <c r="G58" s="3" t="s">
        <v>389</v>
      </c>
    </row>
    <row r="59" ht="15.75" customHeight="1">
      <c r="A59" s="3" t="s">
        <v>266</v>
      </c>
      <c r="B59" s="3" t="s">
        <v>263</v>
      </c>
      <c r="C59" s="3">
        <v>14.0</v>
      </c>
      <c r="D59" s="3" t="s">
        <v>248</v>
      </c>
      <c r="E59" s="3" t="s">
        <v>627</v>
      </c>
      <c r="F59" s="3" t="s">
        <v>264</v>
      </c>
      <c r="G59" s="3" t="s">
        <v>389</v>
      </c>
    </row>
    <row r="60" ht="15.75" customHeight="1">
      <c r="B60" s="3" t="s">
        <v>266</v>
      </c>
      <c r="C60" s="3">
        <v>14.0</v>
      </c>
      <c r="D60" s="3" t="s">
        <v>248</v>
      </c>
      <c r="E60" s="3" t="s">
        <v>627</v>
      </c>
      <c r="F60" s="3" t="s">
        <v>267</v>
      </c>
      <c r="G60" s="3" t="s">
        <v>389</v>
      </c>
    </row>
    <row r="61" ht="15.75" customHeight="1">
      <c r="A61" s="3" t="s">
        <v>628</v>
      </c>
      <c r="B61" s="3" t="s">
        <v>628</v>
      </c>
      <c r="C61" s="3">
        <v>14.0</v>
      </c>
      <c r="D61" s="3" t="s">
        <v>248</v>
      </c>
      <c r="E61" s="3" t="s">
        <v>718</v>
      </c>
      <c r="F61" s="3" t="s">
        <v>407</v>
      </c>
      <c r="G61" s="3" t="s">
        <v>389</v>
      </c>
    </row>
    <row r="62" ht="15.75" customHeight="1">
      <c r="A62" s="3" t="s">
        <v>269</v>
      </c>
      <c r="B62" s="3" t="s">
        <v>269</v>
      </c>
      <c r="C62" s="3">
        <v>14.0</v>
      </c>
      <c r="D62" s="3" t="s">
        <v>248</v>
      </c>
      <c r="E62" s="3" t="s">
        <v>634</v>
      </c>
      <c r="F62" s="3" t="s">
        <v>271</v>
      </c>
      <c r="G62" s="3" t="s">
        <v>389</v>
      </c>
    </row>
    <row r="63" ht="15.75" customHeight="1">
      <c r="A63" s="3" t="s">
        <v>273</v>
      </c>
      <c r="B63" s="3" t="s">
        <v>273</v>
      </c>
      <c r="C63" s="3">
        <v>14.0</v>
      </c>
      <c r="D63" s="3" t="s">
        <v>248</v>
      </c>
      <c r="E63" s="3" t="s">
        <v>639</v>
      </c>
      <c r="F63" s="3" t="s">
        <v>274</v>
      </c>
      <c r="G63" s="3" t="s">
        <v>389</v>
      </c>
    </row>
    <row r="64" ht="15.75" customHeight="1">
      <c r="A64" s="3" t="s">
        <v>276</v>
      </c>
      <c r="B64" s="3" t="s">
        <v>276</v>
      </c>
      <c r="C64" s="3">
        <v>16.0</v>
      </c>
      <c r="D64" s="3" t="s">
        <v>277</v>
      </c>
      <c r="E64" s="3" t="s">
        <v>644</v>
      </c>
      <c r="F64" s="3" t="s">
        <v>279</v>
      </c>
      <c r="G64" s="3" t="s">
        <v>389</v>
      </c>
    </row>
    <row r="65" ht="15.75" customHeight="1">
      <c r="A65" s="3" t="s">
        <v>290</v>
      </c>
      <c r="B65" s="3" t="s">
        <v>281</v>
      </c>
      <c r="C65" s="3">
        <v>16.0</v>
      </c>
      <c r="D65" s="3" t="s">
        <v>277</v>
      </c>
      <c r="E65" s="3" t="s">
        <v>648</v>
      </c>
      <c r="F65" s="3" t="s">
        <v>282</v>
      </c>
      <c r="G65" s="3" t="s">
        <v>389</v>
      </c>
    </row>
    <row r="66" ht="15.75" customHeight="1">
      <c r="A66" s="3" t="s">
        <v>293</v>
      </c>
      <c r="B66" s="3" t="s">
        <v>284</v>
      </c>
      <c r="C66" s="3">
        <v>16.0</v>
      </c>
      <c r="D66" s="3" t="s">
        <v>277</v>
      </c>
      <c r="E66" s="3" t="s">
        <v>648</v>
      </c>
      <c r="F66" s="3" t="s">
        <v>285</v>
      </c>
      <c r="G66" s="3" t="s">
        <v>389</v>
      </c>
    </row>
    <row r="67" ht="15.75" customHeight="1">
      <c r="A67" s="3" t="s">
        <v>297</v>
      </c>
      <c r="B67" s="3" t="s">
        <v>287</v>
      </c>
      <c r="C67" s="3">
        <v>16.0</v>
      </c>
      <c r="D67" s="3" t="s">
        <v>277</v>
      </c>
      <c r="E67" s="3" t="s">
        <v>644</v>
      </c>
      <c r="F67" s="3" t="s">
        <v>288</v>
      </c>
      <c r="G67" s="3" t="s">
        <v>389</v>
      </c>
    </row>
    <row r="68" ht="15.75" customHeight="1">
      <c r="A68" s="3" t="s">
        <v>256</v>
      </c>
      <c r="B68" s="3" t="s">
        <v>290</v>
      </c>
      <c r="C68" s="3">
        <v>16.0</v>
      </c>
      <c r="D68" s="3" t="s">
        <v>277</v>
      </c>
      <c r="E68" s="3" t="s">
        <v>877</v>
      </c>
      <c r="F68" s="3" t="s">
        <v>291</v>
      </c>
      <c r="G68" s="3" t="s">
        <v>389</v>
      </c>
    </row>
    <row r="69" ht="15.75" customHeight="1">
      <c r="A69" s="3" t="s">
        <v>300</v>
      </c>
      <c r="B69" s="3" t="s">
        <v>293</v>
      </c>
      <c r="C69" s="3">
        <v>17.0</v>
      </c>
      <c r="D69" s="3" t="s">
        <v>294</v>
      </c>
      <c r="E69" s="3" t="s">
        <v>657</v>
      </c>
      <c r="F69" s="3" t="s">
        <v>295</v>
      </c>
      <c r="G69" s="3" t="s">
        <v>389</v>
      </c>
    </row>
    <row r="70" ht="15.75" customHeight="1">
      <c r="A70" s="3" t="s">
        <v>303</v>
      </c>
      <c r="B70" s="3" t="s">
        <v>297</v>
      </c>
      <c r="C70" s="3">
        <v>17.0</v>
      </c>
      <c r="D70" s="3" t="s">
        <v>294</v>
      </c>
      <c r="E70" s="3" t="s">
        <v>657</v>
      </c>
      <c r="F70" s="3" t="s">
        <v>298</v>
      </c>
      <c r="G70" s="3" t="s">
        <v>389</v>
      </c>
    </row>
    <row r="71" ht="15.75" customHeight="1">
      <c r="A71" s="3" t="s">
        <v>306</v>
      </c>
      <c r="B71" s="3" t="s">
        <v>300</v>
      </c>
      <c r="C71" s="3">
        <v>17.0</v>
      </c>
      <c r="D71" s="3" t="s">
        <v>294</v>
      </c>
      <c r="E71" s="3" t="s">
        <v>657</v>
      </c>
      <c r="F71" s="3" t="s">
        <v>301</v>
      </c>
      <c r="G71" s="3" t="s">
        <v>389</v>
      </c>
    </row>
    <row r="72" ht="15.75" customHeight="1">
      <c r="A72" s="3" t="s">
        <v>309</v>
      </c>
      <c r="B72" s="3" t="s">
        <v>303</v>
      </c>
      <c r="C72" s="3">
        <v>17.0</v>
      </c>
      <c r="D72" s="3" t="s">
        <v>294</v>
      </c>
      <c r="E72" s="3" t="s">
        <v>657</v>
      </c>
      <c r="F72" s="3" t="s">
        <v>304</v>
      </c>
      <c r="G72" s="3" t="s">
        <v>389</v>
      </c>
    </row>
    <row r="73" ht="15.75" customHeight="1">
      <c r="A73" s="3" t="s">
        <v>312</v>
      </c>
      <c r="B73" s="3" t="s">
        <v>306</v>
      </c>
      <c r="C73" s="3">
        <v>17.0</v>
      </c>
      <c r="D73" s="3" t="s">
        <v>294</v>
      </c>
      <c r="E73" s="3" t="s">
        <v>657</v>
      </c>
      <c r="F73" s="3" t="s">
        <v>307</v>
      </c>
      <c r="G73" s="3" t="s">
        <v>389</v>
      </c>
    </row>
    <row r="74" ht="15.75" customHeight="1">
      <c r="A74" s="3" t="s">
        <v>315</v>
      </c>
      <c r="B74" s="3" t="s">
        <v>309</v>
      </c>
      <c r="C74" s="3">
        <v>17.0</v>
      </c>
      <c r="D74" s="3" t="s">
        <v>294</v>
      </c>
      <c r="E74" s="3" t="s">
        <v>657</v>
      </c>
      <c r="F74" s="3" t="s">
        <v>310</v>
      </c>
      <c r="G74" s="3" t="s">
        <v>389</v>
      </c>
    </row>
    <row r="75" ht="15.75" customHeight="1">
      <c r="A75" s="3" t="s">
        <v>318</v>
      </c>
      <c r="B75" s="3" t="s">
        <v>312</v>
      </c>
      <c r="C75" s="3">
        <v>17.0</v>
      </c>
      <c r="D75" s="3" t="s">
        <v>294</v>
      </c>
      <c r="E75" s="3" t="s">
        <v>657</v>
      </c>
      <c r="F75" s="3" t="s">
        <v>313</v>
      </c>
      <c r="G75" s="3" t="s">
        <v>389</v>
      </c>
    </row>
    <row r="76" ht="15.75" customHeight="1">
      <c r="A76" s="3" t="s">
        <v>321</v>
      </c>
      <c r="B76" s="3" t="s">
        <v>315</v>
      </c>
      <c r="C76" s="3">
        <v>17.0</v>
      </c>
      <c r="D76" s="3" t="s">
        <v>294</v>
      </c>
      <c r="E76" s="3" t="s">
        <v>657</v>
      </c>
      <c r="F76" s="3" t="s">
        <v>316</v>
      </c>
      <c r="G76" s="3" t="s">
        <v>389</v>
      </c>
    </row>
    <row r="77" ht="15.75" customHeight="1">
      <c r="A77" s="3" t="s">
        <v>670</v>
      </c>
      <c r="B77" s="3" t="s">
        <v>318</v>
      </c>
      <c r="C77" s="3">
        <v>17.0</v>
      </c>
      <c r="D77" s="3" t="s">
        <v>294</v>
      </c>
      <c r="E77" s="3" t="s">
        <v>657</v>
      </c>
      <c r="F77" s="3" t="s">
        <v>319</v>
      </c>
      <c r="G77" s="3" t="s">
        <v>389</v>
      </c>
    </row>
    <row r="78" ht="15.75" customHeight="1">
      <c r="A78" s="3" t="s">
        <v>281</v>
      </c>
      <c r="B78" s="3" t="s">
        <v>321</v>
      </c>
      <c r="C78" s="3">
        <v>17.0</v>
      </c>
      <c r="D78" s="3" t="s">
        <v>294</v>
      </c>
      <c r="E78" s="3" t="s">
        <v>657</v>
      </c>
      <c r="F78" s="3" t="s">
        <v>322</v>
      </c>
      <c r="G78" s="3" t="s">
        <v>389</v>
      </c>
    </row>
    <row r="79" ht="15.75" customHeight="1">
      <c r="A79" s="3" t="s">
        <v>284</v>
      </c>
      <c r="B79" s="3" t="s">
        <v>670</v>
      </c>
      <c r="C79" s="3">
        <v>17.0</v>
      </c>
      <c r="D79" s="3" t="s">
        <v>294</v>
      </c>
      <c r="E79" s="3" t="s">
        <v>657</v>
      </c>
      <c r="F79" s="3" t="s">
        <v>322</v>
      </c>
      <c r="G79" s="3" t="s">
        <v>878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0.0"/>
    <col customWidth="1" min="3" max="6" width="8.63"/>
  </cols>
  <sheetData>
    <row r="1">
      <c r="A1" s="69" t="s">
        <v>879</v>
      </c>
      <c r="B1" s="69" t="s">
        <v>880</v>
      </c>
    </row>
    <row r="2">
      <c r="A2" s="3" t="s">
        <v>881</v>
      </c>
      <c r="B2" s="3" t="s">
        <v>882</v>
      </c>
    </row>
    <row r="3">
      <c r="A3" s="3" t="s">
        <v>883</v>
      </c>
      <c r="B3" s="3" t="s">
        <v>884</v>
      </c>
    </row>
    <row r="4">
      <c r="A4" s="3" t="s">
        <v>10</v>
      </c>
      <c r="B4" s="3" t="s">
        <v>885</v>
      </c>
    </row>
    <row r="5">
      <c r="A5" s="3" t="s">
        <v>150</v>
      </c>
      <c r="B5" s="3" t="s">
        <v>886</v>
      </c>
    </row>
    <row r="6">
      <c r="A6" s="3" t="s">
        <v>322</v>
      </c>
      <c r="B6" s="3" t="s">
        <v>887</v>
      </c>
    </row>
    <row r="7">
      <c r="A7" s="3" t="s">
        <v>291</v>
      </c>
      <c r="B7" s="3" t="s">
        <v>888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